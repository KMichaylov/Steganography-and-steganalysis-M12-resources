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tudy Materials\Year 3 (2022-2023)\Module 12\Resources\Experiment_code\Steganography-and-steganalysis-M12-resources\results\RQ3_data_per_tool\"/>
    </mc:Choice>
  </mc:AlternateContent>
  <xr:revisionPtr revIDLastSave="0" documentId="13_ncr:1_{47EB771E-9BD1-4F94-8284-3B682B841E3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5" sheetId="1" r:id="rId1"/>
    <sheet name="Outguess" sheetId="2" r:id="rId2"/>
    <sheet name="Steghi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I20" i="1"/>
  <c r="G20" i="1"/>
  <c r="F20" i="1"/>
  <c r="D20" i="1"/>
  <c r="C20" i="1"/>
  <c r="J20" i="2"/>
  <c r="I20" i="2"/>
  <c r="G20" i="2"/>
  <c r="F20" i="2"/>
  <c r="D20" i="2"/>
  <c r="C20" i="2"/>
  <c r="J20" i="3"/>
  <c r="I20" i="3"/>
  <c r="G20" i="3"/>
  <c r="F20" i="3"/>
  <c r="D20" i="3"/>
  <c r="C20" i="3"/>
</calcChain>
</file>

<file path=xl/sharedStrings.xml><?xml version="1.0" encoding="utf-8"?>
<sst xmlns="http://schemas.openxmlformats.org/spreadsheetml/2006/main" count="276" uniqueCount="174">
  <si>
    <t>b-g-s.jpg</t>
  </si>
  <si>
    <t>grayscale</t>
  </si>
  <si>
    <t>[3533.0, 3559.0, 3585.0, 3987.0, 4513.0]</t>
  </si>
  <si>
    <t>[0.0, -0.03641510009765625, -0.08563613891601562, -0.6754989624023438, -1.6205978393554688]</t>
  </si>
  <si>
    <t>[0.0, 0.25535666246030075, 0.5871678647502421, 3.3295672191186014, 5.775372922124134]</t>
  </si>
  <si>
    <t>b-s.jpg</t>
  </si>
  <si>
    <t>colourful</t>
  </si>
  <si>
    <t>[1381.0, 1416.0, 1445.0, 1846.0, 2462.0]</t>
  </si>
  <si>
    <t>[0.0, -0.059345245361328125, -0.12115097045898438, -0.8003044128417969, -1.9021911621093759]</t>
  </si>
  <si>
    <t>[0.0, 0.14408325664144428, 0.2904075771718553, 1.6673108124643505, 3.2643387078827004]</t>
  </si>
  <si>
    <t>c-g-s.jpg</t>
  </si>
  <si>
    <t>[6270.0, 6291.0, 6294.0, 6444.0, 6809.0]</t>
  </si>
  <si>
    <t>[0.0, -0.033794403076171875, -0.09268569946289062, -0.4834327697753906, -1.3733596801757812]</t>
  </si>
  <si>
    <t>[0.0, 0.171447231388143, 0.457961271410916, 1.9800799630071708, 4.233501061925196]</t>
  </si>
  <si>
    <t>c-s.jpg</t>
  </si>
  <si>
    <t>[2013.0, 2016.0, 2044.0, 2213.0, 2489.0]</t>
  </si>
  <si>
    <t>[0.0, -0.053226470947265625, -0.13973617553710938, -0.7619056701660156, -1.9500045776367188]</t>
  </si>
  <si>
    <t>[0.0, 0.0925152474756743, 0.21587712794928393, 1.1012792950185073, 2.4038637858036793]</t>
  </si>
  <si>
    <t>fo-g-s.jpg</t>
  </si>
  <si>
    <t>[3613.0, 3620.0, 3657.0, 3841.0, 4161.0]</t>
  </si>
  <si>
    <t>[0.0, -0.0302581787109375, -0.07616043090820312, -0.4821052551269531, -1.1532325744628908]</t>
  </si>
  <si>
    <t>[0.0, 0.2220264500903184, 0.538785712444735, 2.6166562326943463, 4.733722660543606]</t>
  </si>
  <si>
    <t>fo-s.jpg</t>
  </si>
  <si>
    <t>[1727.0, 1754.0, 1780.0, 1980.0, 2288.0]</t>
  </si>
  <si>
    <t>[0.0, -0.07120895385742143, -0.13578414916992143, -1.1182022094726558, -2.5388603210449214]</t>
  </si>
  <si>
    <t>[0.0, 0.10500947621600432, 0.21679325828522167, 1.526368560089253, 2.9338958019919232]</t>
  </si>
  <si>
    <t>n-g-s.jpg</t>
  </si>
  <si>
    <t>[6267.0, 6283.0, 6282.0, 6431.0, 6701.0]</t>
  </si>
  <si>
    <t>[0.0, -0.028415679931640625, -0.055515289306640736, -0.3182258605957031, -0.763618469238281]</t>
  </si>
  <si>
    <t>[0.0, 0.14793401653437144, 0.2934464843272977, 1.4300805835405654, 2.9086759750165214]</t>
  </si>
  <si>
    <t>n-s.jpg</t>
  </si>
  <si>
    <t>[1748.0, 1758.0, 1787.0, 1921.0, 2214.0]</t>
  </si>
  <si>
    <t>[0.0, -0.042942047119140625, -0.080902099609375, -0.6388702392578125, -1.6085014343261719]</t>
  </si>
  <si>
    <t>[0.0, 0.05638404710490619, 0.1178872094351533, 0.7917820193622163, 1.8294076705261162]</t>
  </si>
  <si>
    <t>p-g-s.jpg</t>
  </si>
  <si>
    <t>[3476.0, 3497.0, 3527.0, 3724.0, 4075.0]</t>
  </si>
  <si>
    <t>[0.0, -0.022190093994140625, -0.06946563720703125, -0.34009552001953125, -0.8781051635742188]</t>
  </si>
  <si>
    <t>[0.0, 0.18805651904439458, 0.5417210231975815, 2.195888655844435, 4.320330754364605]</t>
  </si>
  <si>
    <t>p-s.jpg</t>
  </si>
  <si>
    <t>[1918.0, 1945.0, 1965.0, 2204.0, 2633.0]</t>
  </si>
  <si>
    <t>[0.0, -0.029464721679687944, -0.09003829956054688, -0.6745262145996098, -1.6141319274902348]</t>
  </si>
  <si>
    <t>[0.0, 0.06805625336054533, 0.20565851644840194, 1.300885871760876, 2.685314580992305]</t>
  </si>
  <si>
    <t>r-g-s.jpg</t>
  </si>
  <si>
    <t>[5236.0, 5242.0, 5255.0, 5415.0, 5733.0]</t>
  </si>
  <si>
    <t>[0.0, -0.01696014404296875, -0.06386947631835938, -0.3520088195800781, -0.9416656494140625]</t>
  </si>
  <si>
    <t>[0.0, 0.10191078297201273, 0.37957494808102155, 1.796919952766963, 3.774658747942084]</t>
  </si>
  <si>
    <t>r-s.jpg</t>
  </si>
  <si>
    <t>[1841.0, 1847.0, 1884.0, 2012.0, 2310.0]</t>
  </si>
  <si>
    <t>[0.0, -0.053310394287109375, -0.10309219360351562, -0.5012931823730469, -1.2702369689941402]</t>
  </si>
  <si>
    <t>[0.0, 0.09298033086069069, 0.20257041184891023, 0.9077947902397199, 1.9848199376347253]</t>
  </si>
  <si>
    <t>se-g-s.jpg</t>
  </si>
  <si>
    <t>[4039.0, 4072.0, 4091.0, 4301.0, 4651.0]</t>
  </si>
  <si>
    <t>[0.0, -0.014270782470703125, -0.052722930908203125, -0.3786163330078125, -0.9215011596679688]</t>
  </si>
  <si>
    <t>[0.0, 0.10309708774857995, 0.3731417171432412, 2.1696666881226605, 4.095727779320633]</t>
  </si>
  <si>
    <t>se-s.jpg</t>
  </si>
  <si>
    <t>[1987.0, 1992.0, 2013.0, 2260.0, 2664.0]</t>
  </si>
  <si>
    <t>[0.0, -0.04070281982421875, -0.07479095458984375, -0.6062164306640625, -1.45648193359375]</t>
  </si>
  <si>
    <t>[0.0, 0.0966907219466222, 0.17936167212486964, 1.2831460640629118, 2.642554023661269]</t>
  </si>
  <si>
    <t>st-g-s.jpg</t>
  </si>
  <si>
    <t>[7174.0, 7192.0, 7197.0, 7357.0, 7568.0]</t>
  </si>
  <si>
    <t>[0.0, -0.03595733642578125, -0.06374359130859375, -0.5562286376953125, -1.397312164306641]</t>
  </si>
  <si>
    <t>[0.0, 0.13958314282746187, 0.2410842191342013, 1.8119017430260698, 3.580307998138643]</t>
  </si>
  <si>
    <t>st-s.jpg</t>
  </si>
  <si>
    <t>[1636.0, 1660.0, 1667.0, 1791.0, 2076.0]</t>
  </si>
  <si>
    <t>[0.0, -0.03287506103515625, -0.08951187133789062, -0.6458625793457022, -1.6809921264648438]</t>
  </si>
  <si>
    <t>[0.0, 0.05501853586586947, 0.15203199848780713, 0.9402342217543023, 2.165580553095502]</t>
  </si>
  <si>
    <t>Name</t>
  </si>
  <si>
    <t>Color</t>
  </si>
  <si>
    <t>Mean Size</t>
  </si>
  <si>
    <t>Standard Deviation Size</t>
  </si>
  <si>
    <t>Deviation from non-stego Size</t>
  </si>
  <si>
    <t>Mean MSE</t>
  </si>
  <si>
    <t>Standard Deviation MSE</t>
  </si>
  <si>
    <t>Deviation from non-stego MSE</t>
  </si>
  <si>
    <t>Mean PSNR</t>
  </si>
  <si>
    <t>Standard Deviation PSNR</t>
  </si>
  <si>
    <t>Deviation from non-stego PSNR</t>
  </si>
  <si>
    <t>[4481.0, 4474.0, 4461.0, 4395.0, 4317.0]</t>
  </si>
  <si>
    <t>[0.0, -0.1089019775390625, -0.2663154602050781, -1.0393295288085938, -2.12274169921875]</t>
  </si>
  <si>
    <t>[0.0, 0.53599167160138, 1.1899100006358267, 3.47237904502488, 5.465361237164707]</t>
  </si>
  <si>
    <t>[2265.0, 2260.0, 2251.0, 2156.0, 2085.0]</t>
  </si>
  <si>
    <t>[0.0, -0.1556129455566404, -0.29279327392578125, -1.51812744140625, -3.1111907958984375]</t>
  </si>
  <si>
    <t>[0.0, 0.4003437614999754, 0.8411003095705283, 3.134656700071261, 4.942100276822956]</t>
  </si>
  <si>
    <t>[8155.0, 8160.0, 8159.0, 8099.0, 8081.0]</t>
  </si>
  <si>
    <t>[0.0, -0.0872039794921875, -0.24593353271484375, -1.118099212646484, -2.175029754638672]</t>
  </si>
  <si>
    <t>[0.0, 0.30648905605212207, 0.7839865186995638, 2.777193518476331, 4.383238526632063]</t>
  </si>
  <si>
    <t>[3956.0, 3946.0, 3942.0, 3907.0, 3844.0]</t>
  </si>
  <si>
    <t>[0.0, -0.13741683959960938, -0.332366943359375, -1.5821266174316406, -3.2772254943847656]</t>
  </si>
  <si>
    <t>[0.0, 0.2006066348555322, 0.4582791366249097, 1.8161807113305386, 3.1823433267584846]</t>
  </si>
  <si>
    <t>[5081.0, 5063.0, 5068.0, 5028.0, 4947.0]</t>
  </si>
  <si>
    <t>[0.0, -0.09741210937500011, -0.2242584228515626, -0.9604682922363282, -1.9611053466796875]</t>
  </si>
  <si>
    <t>[0.0, 0.4630238946538867, 0.982520856708561, 3.2366856940966073, 5.103454864380701]</t>
  </si>
  <si>
    <t>[3328.0, 3329.0, 3314.0, 3266.0, 3210.0]</t>
  </si>
  <si>
    <t>[0.0, -0.16902923583984375, -0.3922386169433594, -1.9045753479003906, -3.7749710083007812]</t>
  </si>
  <si>
    <t>[0.0, 0.27116661930963204, 0.6571516668118562, 2.4267795933012835, 4.048428528621216]</t>
  </si>
  <si>
    <t>[8438.0, 8424.0, 8427.0, 8399.0, 8361.0]</t>
  </si>
  <si>
    <t>[0.0, -0.08333587646484375, -0.20982742309570312, -0.8414382934570308, -1.7254600524902344]</t>
  </si>
  <si>
    <t>[0.0, 0.26256085439510457, 0.651271361911661, 2.1525503128417682, 3.6774734013132075]</t>
  </si>
  <si>
    <t>[4012.0, 4001.0, 4012.0, 3980.0, 3935.0]</t>
  </si>
  <si>
    <t>[0.0, -0.1445236206054692, -0.39410400390625, -1.42047119140625, -2.9811859130859375]</t>
  </si>
  <si>
    <t>[0.0, 0.18073941546901295, 0.4821245224283359, 1.569152152172414, 2.784294346774246]</t>
  </si>
  <si>
    <t>[4912.0, 4894.0, 4911.0, 4879.0, 4857.0]</t>
  </si>
  <si>
    <t>[0.0, -0.06992340087890625, -0.18733978271484375, -0.7903861999511719, -1.6124610900878906]</t>
  </si>
  <si>
    <t>[0.0, 0.32440415073941153, 0.8863813144971218, 2.977399441610949, 4.705059112026127]</t>
  </si>
  <si>
    <t>[3459.0, 3461.0, 3454.0, 3428.0, 3398.0]</t>
  </si>
  <si>
    <t>[0.0, -0.14654541015625, -0.3085517883300777, -1.3313636779785156, -2.760944366455078]</t>
  </si>
  <si>
    <t>[0.0, 0.29745366560631226, 0.6405612982008932, 2.3460355850055166, 3.845220153184293]</t>
  </si>
  <si>
    <t>[7174.0, 7178.0, 7181.0, 7164.0, 7117.0]</t>
  </si>
  <si>
    <t>[0.0, -0.09693145751953125, -0.17745208740234375, -0.8307952880859373, -1.6540260314941402]</t>
  </si>
  <si>
    <t>[0.0, 0.3219717042751995, 0.6148151136264275, 2.3300202001502583, 3.8199274985584992]</t>
  </si>
  <si>
    <t>[3840.0, 3835.0, 3821.0, 3797.0, 3752.0]</t>
  </si>
  <si>
    <t>[0.0, -0.11925125122070312, -0.2739181518554683, -1.2943115234375, -2.688732147216797]</t>
  </si>
  <si>
    <t>[0.0, 0.24667131269566767, 0.4951009586761117, 1.97003772853693, 3.3706609567280026]</t>
  </si>
  <si>
    <t>[5513.0, 5496.0, 5486.0, 5462.0, 5428.0]</t>
  </si>
  <si>
    <t>[0.0, -0.06960296630859386, -0.18225860595703125, -0.8334846496582031, -1.6757354736328125]</t>
  </si>
  <si>
    <t>[0.0, 0.2963105877471932, 0.7771360842118895, 2.765930919120123, 4.484153131158216]</t>
  </si>
  <si>
    <t>[3475.0, 3465.0, 3459.0, 3430.0, 3384.0]</t>
  </si>
  <si>
    <t>[0.0, -0.0833892822265625, -0.2833251953125, -1.3302383422851554, -2.7924232482910156]</t>
  </si>
  <si>
    <t>[0.0, 0.21184761669009333, 0.5407612876751955, 2.0562899245964275, 3.5925264319026553]</t>
  </si>
  <si>
    <t>[9656.0, 9667.0, 9671.0, 9638.0, 9618.0]</t>
  </si>
  <si>
    <t>[0.0, -0.1022186279296875, -0.2817649841308594, -1.1250686645507812, -2.166881561279297]</t>
  </si>
  <si>
    <t>[0.0, 0.27802069639169247, 0.7257430929902426, 2.3804369397986846, 3.8258421057811773]</t>
  </si>
  <si>
    <t>[4078.0, 4085.0, 4083.0, 4058.0, 3989.0]</t>
  </si>
  <si>
    <t>[0.0, -0.14848709106445268, -0.35720825195312456, -1.4917907714843746, -3.1188354492187496]</t>
  </si>
  <si>
    <t>[0.0, 0.20873129350345465, 0.4781820290675043, 1.7134363010003142, 3.089571302355843]</t>
  </si>
  <si>
    <t>[-3901.0, -3895.0, -3909.0, -3953.0, -3954.0]</t>
  </si>
  <si>
    <t>[0.0, -0.020702362060546903, -0.0383033752441407, -0.0995292663574219, -0.1140975952148438]</t>
  </si>
  <si>
    <t>[0.0, 2.5391545061539063, 3.900919751385743, 6.923131301741336, 7.328877993718244]</t>
  </si>
  <si>
    <t>[1691.0, 1679.0, 1665.0, 1629.0, 1602.0]</t>
  </si>
  <si>
    <t>[0.0, -0.0849266052246094, -0.19016265869140633, -0.535564422607422, -0.6125068664550782]</t>
  </si>
  <si>
    <t>[0.0, 1.6394185270479582, 3.4331884315641545, 6.457877578755273, 6.94625386089286]</t>
  </si>
  <si>
    <t>[-5801.0, -5835.0, -5815.0, -5794.0, -5851.0]</t>
  </si>
  <si>
    <t>[0.0, -0.017669677734375, -0.03657531738281251, -0.12134170532226571, -0.1267547607421875]</t>
  </si>
  <si>
    <t>[0.0, 2.069040643606087, 3.47928208795814, 7.025072865583098, 7.233199515849336]</t>
  </si>
  <si>
    <t>[2510.0, 2520.0, 2507.0, 2496.0, 2483.0]</t>
  </si>
  <si>
    <t>[0.0, -0.15462493896484383, -0.22905731201171883, -0.6534423828125001, -0.8408088684082032]</t>
  </si>
  <si>
    <t>[0.0, 2.8696241062091232, 3.7411932728780144, 7.148459039309415, 7.838203476066958]</t>
  </si>
  <si>
    <t>[-4793.0, -4799.0, -4792.0, -4756.0, -4772.0]</t>
  </si>
  <si>
    <t>[0.0, -0.018081665039062497, -0.0356254577636719, -0.10089111328125, -0.1138687133789062]</t>
  </si>
  <si>
    <t>[0.0, 2.1671537299861825, 3.6831485998511866, 6.584707673288477, 6.986191301647175]</t>
  </si>
  <si>
    <t>[2223.0, 2211.0, 2200.0, 2187.0, 2170.0]</t>
  </si>
  <si>
    <t>[0.0, -0.08583068847656253, -0.20703125000000003, -0.8036766052246094, -0.8524093627929688]</t>
  </si>
  <si>
    <t>[0.0, 1.217511132640908, 2.7383517086028633, 6.49152079456379, 6.918662796052516]</t>
  </si>
  <si>
    <t>[-6843.0, -6800.0, -6838.0, -6823.0, -6795.0]</t>
  </si>
  <si>
    <t>[0.0, -0.016937255859375, -0.0326271057128907, -0.10055923461914071, -0.1151847839355469]</t>
  </si>
  <si>
    <t>[0.0, 2.0138682925201294, 3.3875752761607885, 6.592300205377455, 7.040234829958031]</t>
  </si>
  <si>
    <t>[2387.0, 2364.0, 2369.0, 2354.0, 2355.0]</t>
  </si>
  <si>
    <t>[0.0, -0.0818595886230469, -0.189178466796875, -0.63873291015625, -0.6872520446777344]</t>
  </si>
  <si>
    <t>[0.0, 1.7334229118331024, 3.3619335641765815, 6.914143207643946, 7.149441839107425]</t>
  </si>
  <si>
    <t>[-4661.0, -4676.0, -4674.0, -4689.0, -4657.0]</t>
  </si>
  <si>
    <t>[0.0, -0.0151519775390625, -0.0323638916015625, -0.1010284423828125, -0.1090850830078125]</t>
  </si>
  <si>
    <t>[0.0, 1.9665761589798691, 3.451047891271301, 6.676364276381861, 6.986067299677821]</t>
  </si>
  <si>
    <t>[2439.0, 2426.0, 2428.0, 2426.0, 2421.0]</t>
  </si>
  <si>
    <t>[0.0, -0.0767478942871094, -0.1720314025878906, -0.5839576721191406, -0.6751480102539062]</t>
  </si>
  <si>
    <t>[0.0, 1.730728552372014, 3.1938066445054574, 6.820794437392593, 7.3638131260179165]</t>
  </si>
  <si>
    <t>[-6206.0, -6191.0, -6189.0, -6214.0, -6224.0]</t>
  </si>
  <si>
    <t>[0.0, -0.017852783203125, -0.0332107543945313, -0.1045303344726563, -0.1084671020507813]</t>
  </si>
  <si>
    <t>[0.0, 2.205542249182912, 3.4166897755299956, 6.790396163595396, 7.023792398731786]</t>
  </si>
  <si>
    <t>[2444.0, 2443.0, 2445.0, 2432.0, 2448.0]</t>
  </si>
  <si>
    <t>[0.0, -0.1019020080566406, -0.15333557128906253, -0.5382423400878906, -0.6386566162109375]</t>
  </si>
  <si>
    <t>[0.0, 2.6085531238311503, 3.6364607515753278, 7.42142644060327, 7.912778390204082]</t>
  </si>
  <si>
    <t>[-5074.0, -5054.0, -5050.0, -5044.0, -5016.0]</t>
  </si>
  <si>
    <t>[0.0, -0.012359619140625, -0.032318115234375, -0.0987739562988281, -0.1088790893554688]</t>
  </si>
  <si>
    <t>[0.0, 1.7018637672303072, 3.3008640402119056, 6.510002850894615, 6.865832157665295]</t>
  </si>
  <si>
    <t>[2468.0, 2457.0, 2450.0, 2456.0, 2434.0]</t>
  </si>
  <si>
    <t>[0.0, -0.0802841186523438, -0.1757087707519532, -0.5061187744140626, -0.599132537841797]</t>
  </si>
  <si>
    <t>[0.0, 2.15468516114656, 3.672236745035292, 6.67512749468554, 7.259443754920646]</t>
  </si>
  <si>
    <t>[-8412.0, -8415.0, -8431.0, -8460.0, -8417.0]</t>
  </si>
  <si>
    <t>[0.0, -0.0188827514648437, -0.038360595703125, -0.1206779479980469, -0.1300048828125]</t>
  </si>
  <si>
    <t>[0.0, 1.9444143833182395, 3.4231719699820715, 6.860326831349411, 7.056779217593025]</t>
  </si>
  <si>
    <t>[2319.0, 2310.0, 2298.0, 2302.0, 2274.0]</t>
  </si>
  <si>
    <t>[0.0, -0.1260299682617188, -0.2559051513671875, -0.6434249877929688, -0.7061653137207031]</t>
  </si>
  <si>
    <t>[0.0, 2.888623432710297, 4.658295209629543, 7.7313015742913365, 8.049658230530191]</t>
  </si>
  <si>
    <t>AVRG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</si>
</sst>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2FB379-CD87-4194-BC72-5910E594E647}" name="Table5" displayName="Table5" ref="A1:K17" totalsRowShown="0">
  <autoFilter ref="A1:K17" xr:uid="{C72FB379-CD87-4194-BC72-5910E594E647}">
    <filterColumn colId="0">
      <filters>
        <filter val="b-g-s.jpg"/>
        <filter val="b-s.jpg"/>
        <filter val="c-g-s.jpg"/>
        <filter val="c-s.jpg"/>
        <filter val="st-g-s.jpg"/>
        <filter val="st-s.jpg"/>
      </filters>
    </filterColumn>
  </autoFilter>
  <sortState xmlns:xlrd2="http://schemas.microsoft.com/office/spreadsheetml/2017/richdata2" ref="A2:K17">
    <sortCondition ref="A1:A17"/>
  </sortState>
  <tableColumns count="11">
    <tableColumn id="1" xr3:uid="{3E97E249-EA5E-4C96-B3F3-04A7084C4C04}" name="Name"/>
    <tableColumn id="2" xr3:uid="{C3918DF5-218F-4DAC-849E-76040A75172B}" name="Color"/>
    <tableColumn id="3" xr3:uid="{C5E6F333-4D38-4CC5-A058-B9CC82C3CEDF}" name="Mean Size"/>
    <tableColumn id="4" xr3:uid="{5D60205E-3D4B-4FDB-BC45-3121689124BD}" name="Standard Deviation Size"/>
    <tableColumn id="5" xr3:uid="{8EC72576-908A-4AB1-8116-13220D0D38EA}" name="Deviation from non-stego Size"/>
    <tableColumn id="6" xr3:uid="{D04572B2-B352-47C1-9058-A7B720F044DC}" name="Mean MSE"/>
    <tableColumn id="7" xr3:uid="{AB8590C5-2E5E-4B57-B5A0-F2E80B697711}" name="Standard Deviation MSE"/>
    <tableColumn id="8" xr3:uid="{D93ABAE0-88BE-425C-99AB-C16FD394CEA7}" name="Deviation from non-stego MSE"/>
    <tableColumn id="9" xr3:uid="{16A9336A-DAA7-4852-A80D-7C07ECAE0199}" name="Mean PSNR"/>
    <tableColumn id="10" xr3:uid="{77F3A26D-6C6A-4777-9DE3-DBF19B5CAA2F}" name="Standard Deviation PSNR"/>
    <tableColumn id="11" xr3:uid="{73E0A4D4-5190-4A74-90C7-3492A4176C9D}" name="Deviation from non-stego PSN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DEA745-002B-4147-B32B-8A20AADE9860}" name="Table1" displayName="Table1" ref="A1:K17" totalsRowShown="0">
  <autoFilter ref="A1:K17" xr:uid="{7EDEA745-002B-4147-B32B-8A20AADE9860}">
    <filterColumn colId="0">
      <filters>
        <filter val="b-g-s.jpg"/>
        <filter val="b-s.jpg"/>
        <filter val="c-g-s.jpg"/>
        <filter val="c-s.jpg"/>
        <filter val="st-g-s.jpg"/>
        <filter val="st-s.jpg"/>
      </filters>
    </filterColumn>
  </autoFilter>
  <tableColumns count="11">
    <tableColumn id="1" xr3:uid="{441F7A94-95EE-4A0F-828F-15C2698C67C3}" name="Name"/>
    <tableColumn id="2" xr3:uid="{FCA1192B-485B-4BA3-9089-25D7BE36820F}" name="Color"/>
    <tableColumn id="3" xr3:uid="{27609DE1-3B94-43AC-AD82-0817D22322C9}" name="Mean Size"/>
    <tableColumn id="4" xr3:uid="{1A87E201-4D7D-4DA0-9714-C79DB97557BF}" name="Standard Deviation Size"/>
    <tableColumn id="5" xr3:uid="{96DE3B4D-98CF-4960-A1CC-289261C90987}" name="Deviation from non-stego Size"/>
    <tableColumn id="6" xr3:uid="{819DDE71-4799-4ED6-A682-A7E65B81DABB}" name="Mean MSE"/>
    <tableColumn id="7" xr3:uid="{AC26E22B-2F7C-48AD-8E33-EC2CF79B7BF5}" name="Standard Deviation MSE"/>
    <tableColumn id="8" xr3:uid="{3F0E2648-491F-4D3F-991A-3E4FA45BEFC1}" name="Deviation from non-stego MSE"/>
    <tableColumn id="9" xr3:uid="{DA89CF8F-21AE-4520-95E7-F1B1B8E8EA7C}" name="Mean PSNR"/>
    <tableColumn id="10" xr3:uid="{1E476269-22ED-4105-BB61-E72DA7374A07}" name="Standard Deviation PSNR"/>
    <tableColumn id="11" xr3:uid="{B4979711-E956-41ED-9814-70577DA284B8}" name="Deviation from non-stego PSN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2CA1DA-70F5-4292-9727-FA6F148C4E96}" name="Table14" displayName="Table14" ref="A1:K17" totalsRowShown="0">
  <autoFilter ref="A1:K17" xr:uid="{6F2CA1DA-70F5-4292-9727-FA6F148C4E96}"/>
  <tableColumns count="11">
    <tableColumn id="1" xr3:uid="{74DB710A-1EFC-4804-BD78-26A8E187A781}" name="Name"/>
    <tableColumn id="2" xr3:uid="{142983AB-D260-4F0B-BB99-3BC417A71C53}" name="Color"/>
    <tableColumn id="3" xr3:uid="{D3FBF39E-0590-42BB-A928-248F1B6CA0D3}" name="Mean Size"/>
    <tableColumn id="4" xr3:uid="{3A76E179-39D3-477B-8E62-FA06E6D269A4}" name="Standard Deviation Size"/>
    <tableColumn id="5" xr3:uid="{DD98B8F4-D218-44C7-AA1A-FA07203A33FD}" name="Deviation from non-stego Size"/>
    <tableColumn id="6" xr3:uid="{975BBF12-3589-4916-ABD6-9B04033305FF}" name="Mean MSE"/>
    <tableColumn id="7" xr3:uid="{E95EF262-A154-4A56-B496-5FA3EB66F0B2}" name="Standard Deviation MSE"/>
    <tableColumn id="8" xr3:uid="{AC990267-8062-4460-B4CD-ADD9DB654630}" name="Deviation from non-stego MSE"/>
    <tableColumn id="9" xr3:uid="{F501F770-4A36-4FDB-9510-A59676AF07CD}" name="Mean PSNR"/>
    <tableColumn id="10" xr3:uid="{36CEF373-3873-4F82-B98E-B02E5488098B}" name="Standard Deviation PSNR"/>
    <tableColumn id="11" xr3:uid="{BBCBF7EF-B95D-48D5-A50D-8D706E9DCF02}" name="Deviation from non-stego PSNR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selection activeCell="E20" sqref="E20"/>
    </sheetView>
  </sheetViews>
  <sheetFormatPr defaultRowHeight="15" x14ac:dyDescent="0.25"/>
  <cols>
    <col min="1" max="1" width="9.5703125" style="1" bestFit="1" customWidth="1"/>
    <col min="2" max="2" width="9.140625" style="1"/>
    <col min="3" max="3" width="12.42578125" style="1" bestFit="1" customWidth="1"/>
    <col min="4" max="4" width="24.5703125" style="1" bestFit="1" customWidth="1"/>
    <col min="5" max="5" width="35.140625" style="1" bestFit="1" customWidth="1"/>
    <col min="6" max="6" width="18.85546875" style="1" bestFit="1" customWidth="1"/>
    <col min="7" max="7" width="24.85546875" style="1" bestFit="1" customWidth="1"/>
    <col min="8" max="8" width="88.85546875" style="1" bestFit="1" customWidth="1"/>
    <col min="9" max="9" width="18.85546875" style="1" bestFit="1" customWidth="1"/>
    <col min="10" max="10" width="25.7109375" style="1" bestFit="1" customWidth="1"/>
    <col min="11" max="11" width="83.85546875" style="1" bestFit="1" customWidth="1"/>
    <col min="12" max="16384" width="9.140625" style="1"/>
  </cols>
  <sheetData>
    <row r="1" spans="1:11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 x14ac:dyDescent="0.25">
      <c r="A2" t="s">
        <v>0</v>
      </c>
      <c r="B2" t="s">
        <v>1</v>
      </c>
      <c r="C2">
        <v>19341.599999999999</v>
      </c>
      <c r="D2">
        <v>377.53601152737701</v>
      </c>
      <c r="E2" t="s">
        <v>2</v>
      </c>
      <c r="F2">
        <v>1.1790641784667899</v>
      </c>
      <c r="G2">
        <v>0.61996900301812297</v>
      </c>
      <c r="H2" t="s">
        <v>3</v>
      </c>
      <c r="I2">
        <v>50.344029303416299</v>
      </c>
      <c r="J2">
        <v>2.2387725528363398</v>
      </c>
      <c r="K2" t="s">
        <v>4</v>
      </c>
    </row>
    <row r="3" spans="1:11" x14ac:dyDescent="0.25">
      <c r="A3" t="s">
        <v>5</v>
      </c>
      <c r="B3" t="s">
        <v>6</v>
      </c>
      <c r="C3">
        <v>19859</v>
      </c>
      <c r="D3">
        <v>412.04417238932001</v>
      </c>
      <c r="E3" t="s">
        <v>7</v>
      </c>
      <c r="F3">
        <v>2.8073875427245998</v>
      </c>
      <c r="G3">
        <v>0.72314444657759303</v>
      </c>
      <c r="H3" t="s">
        <v>8</v>
      </c>
      <c r="I3">
        <v>47.010942139146302</v>
      </c>
      <c r="J3">
        <v>1.24754451870507</v>
      </c>
      <c r="K3" t="s">
        <v>9</v>
      </c>
    </row>
    <row r="4" spans="1:11" x14ac:dyDescent="0.25">
      <c r="A4" t="s">
        <v>10</v>
      </c>
      <c r="B4" t="s">
        <v>1</v>
      </c>
      <c r="C4">
        <v>32496.400000000001</v>
      </c>
      <c r="D4">
        <v>203.42133614741499</v>
      </c>
      <c r="E4" t="s">
        <v>11</v>
      </c>
      <c r="F4">
        <v>1.3064712524413999</v>
      </c>
      <c r="G4">
        <v>0.51824371700913097</v>
      </c>
      <c r="H4" t="s">
        <v>12</v>
      </c>
      <c r="I4">
        <v>49.401904600759401</v>
      </c>
      <c r="J4">
        <v>1.59480841765767</v>
      </c>
      <c r="K4" t="s">
        <v>13</v>
      </c>
    </row>
    <row r="5" spans="1:11" x14ac:dyDescent="0.25">
      <c r="A5" t="s">
        <v>14</v>
      </c>
      <c r="B5" t="s">
        <v>6</v>
      </c>
      <c r="C5">
        <v>36188</v>
      </c>
      <c r="D5">
        <v>182.60668114830801</v>
      </c>
      <c r="E5" t="s">
        <v>15</v>
      </c>
      <c r="F5">
        <v>3.9762268066406201</v>
      </c>
      <c r="G5">
        <v>0.73725437300916996</v>
      </c>
      <c r="H5" t="s">
        <v>16</v>
      </c>
      <c r="I5">
        <v>45.3654099415932</v>
      </c>
      <c r="J5">
        <v>0.90971739089798098</v>
      </c>
      <c r="K5" t="s">
        <v>17</v>
      </c>
    </row>
    <row r="6" spans="1:11" hidden="1" x14ac:dyDescent="0.25">
      <c r="A6" t="s">
        <v>18</v>
      </c>
      <c r="B6" t="s">
        <v>1</v>
      </c>
      <c r="C6">
        <v>25206.6</v>
      </c>
      <c r="D6">
        <v>208.56039892558701</v>
      </c>
      <c r="E6" t="s">
        <v>19</v>
      </c>
      <c r="F6">
        <v>0.98947219848632795</v>
      </c>
      <c r="G6">
        <v>0.43871259788913403</v>
      </c>
      <c r="H6" t="s">
        <v>20</v>
      </c>
      <c r="I6">
        <v>50.701658440414903</v>
      </c>
      <c r="J6">
        <v>1.8130814535958399</v>
      </c>
      <c r="K6" t="s">
        <v>21</v>
      </c>
    </row>
    <row r="7" spans="1:11" hidden="1" x14ac:dyDescent="0.25">
      <c r="A7" t="s">
        <v>22</v>
      </c>
      <c r="B7" t="s">
        <v>6</v>
      </c>
      <c r="C7">
        <v>29071.200000000001</v>
      </c>
      <c r="D7">
        <v>210.91268335498401</v>
      </c>
      <c r="E7" t="s">
        <v>23</v>
      </c>
      <c r="F7">
        <v>4.2587348937988203</v>
      </c>
      <c r="G7">
        <v>0.97298620478350695</v>
      </c>
      <c r="H7" t="s">
        <v>24</v>
      </c>
      <c r="I7">
        <v>45.329266354596498</v>
      </c>
      <c r="J7">
        <v>1.13330831831983</v>
      </c>
      <c r="K7" t="s">
        <v>25</v>
      </c>
    </row>
    <row r="8" spans="1:11" hidden="1" x14ac:dyDescent="0.25">
      <c r="A8" t="s">
        <v>26</v>
      </c>
      <c r="B8" t="s">
        <v>1</v>
      </c>
      <c r="C8">
        <v>35944.199999999997</v>
      </c>
      <c r="D8">
        <v>165.29053209424899</v>
      </c>
      <c r="E8" t="s">
        <v>27</v>
      </c>
      <c r="F8">
        <v>1.080029296875</v>
      </c>
      <c r="G8">
        <v>0.28860486951576603</v>
      </c>
      <c r="H8" t="s">
        <v>28</v>
      </c>
      <c r="I8">
        <v>50.031593482589997</v>
      </c>
      <c r="J8">
        <v>1.09941617725994</v>
      </c>
      <c r="K8" t="s">
        <v>29</v>
      </c>
    </row>
    <row r="9" spans="1:11" hidden="1" x14ac:dyDescent="0.25">
      <c r="A9" t="s">
        <v>30</v>
      </c>
      <c r="B9" t="s">
        <v>6</v>
      </c>
      <c r="C9">
        <v>40228.400000000001</v>
      </c>
      <c r="D9">
        <v>175.52048313515999</v>
      </c>
      <c r="E9" t="s">
        <v>31</v>
      </c>
      <c r="F9">
        <v>4.2985916137695304</v>
      </c>
      <c r="G9">
        <v>0.61307231590907996</v>
      </c>
      <c r="H9" t="s">
        <v>32</v>
      </c>
      <c r="I9">
        <v>45.207834219450703</v>
      </c>
      <c r="J9">
        <v>0.69682241144787604</v>
      </c>
      <c r="K9" t="s">
        <v>33</v>
      </c>
    </row>
    <row r="10" spans="1:11" hidden="1" x14ac:dyDescent="0.25">
      <c r="A10" t="s">
        <v>34</v>
      </c>
      <c r="B10" t="s">
        <v>1</v>
      </c>
      <c r="C10">
        <v>25160.2</v>
      </c>
      <c r="D10">
        <v>225.58138221050001</v>
      </c>
      <c r="E10" t="s">
        <v>35</v>
      </c>
      <c r="F10">
        <v>0.82346420288085898</v>
      </c>
      <c r="G10">
        <v>0.33133268796821902</v>
      </c>
      <c r="H10" t="s">
        <v>36</v>
      </c>
      <c r="I10">
        <v>51.415765736484303</v>
      </c>
      <c r="J10">
        <v>1.6318772852343</v>
      </c>
      <c r="K10" t="s">
        <v>37</v>
      </c>
    </row>
    <row r="11" spans="1:11" hidden="1" x14ac:dyDescent="0.25">
      <c r="A11" t="s">
        <v>38</v>
      </c>
      <c r="B11" t="s">
        <v>6</v>
      </c>
      <c r="C11">
        <v>27974</v>
      </c>
      <c r="D11">
        <v>270.12367537851901</v>
      </c>
      <c r="E11" t="s">
        <v>39</v>
      </c>
      <c r="F11">
        <v>2.8316421508789</v>
      </c>
      <c r="G11">
        <v>0.61798616829546904</v>
      </c>
      <c r="H11" t="s">
        <v>40</v>
      </c>
      <c r="I11">
        <v>46.709096246487199</v>
      </c>
      <c r="J11">
        <v>1.0315784011467899</v>
      </c>
      <c r="K11" t="s">
        <v>41</v>
      </c>
    </row>
    <row r="12" spans="1:11" hidden="1" x14ac:dyDescent="0.25">
      <c r="A12" t="s">
        <v>42</v>
      </c>
      <c r="B12" t="s">
        <v>1</v>
      </c>
      <c r="C12">
        <v>32848.800000000003</v>
      </c>
      <c r="D12">
        <v>190.350623849778</v>
      </c>
      <c r="E12" t="s">
        <v>43</v>
      </c>
      <c r="F12">
        <v>1.0043815612792899</v>
      </c>
      <c r="G12">
        <v>0.35697592706195902</v>
      </c>
      <c r="H12" t="s">
        <v>44</v>
      </c>
      <c r="I12">
        <v>50.401849105386802</v>
      </c>
      <c r="J12">
        <v>1.43551489897888</v>
      </c>
      <c r="K12" t="s">
        <v>45</v>
      </c>
    </row>
    <row r="13" spans="1:11" hidden="1" x14ac:dyDescent="0.25">
      <c r="A13" t="s">
        <v>46</v>
      </c>
      <c r="B13" t="s">
        <v>6</v>
      </c>
      <c r="C13">
        <v>35507.199999999997</v>
      </c>
      <c r="D13">
        <v>176.71604341428599</v>
      </c>
      <c r="E13" t="s">
        <v>47</v>
      </c>
      <c r="F13">
        <v>3.09892349243164</v>
      </c>
      <c r="G13">
        <v>0.47642037764850498</v>
      </c>
      <c r="H13" t="s">
        <v>48</v>
      </c>
      <c r="I13">
        <v>46.367746375414001</v>
      </c>
      <c r="J13">
        <v>0.74570796779133497</v>
      </c>
      <c r="K13" t="s">
        <v>49</v>
      </c>
    </row>
    <row r="14" spans="1:11" hidden="1" x14ac:dyDescent="0.25">
      <c r="A14" t="s">
        <v>50</v>
      </c>
      <c r="B14" t="s">
        <v>1</v>
      </c>
      <c r="C14">
        <v>26417.200000000001</v>
      </c>
      <c r="D14">
        <v>229.36643172007501</v>
      </c>
      <c r="E14" t="s">
        <v>51</v>
      </c>
      <c r="F14">
        <v>0.90978240966796797</v>
      </c>
      <c r="G14">
        <v>0.35261862333731298</v>
      </c>
      <c r="H14" t="s">
        <v>52</v>
      </c>
      <c r="I14">
        <v>51.004729985021498</v>
      </c>
      <c r="J14">
        <v>1.58381687670586</v>
      </c>
      <c r="K14" t="s">
        <v>53</v>
      </c>
    </row>
    <row r="15" spans="1:11" hidden="1" x14ac:dyDescent="0.25">
      <c r="A15" t="s">
        <v>54</v>
      </c>
      <c r="B15" t="s">
        <v>6</v>
      </c>
      <c r="C15">
        <v>28359.8</v>
      </c>
      <c r="D15">
        <v>261.18453246698903</v>
      </c>
      <c r="E15" t="s">
        <v>55</v>
      </c>
      <c r="F15">
        <v>2.5957832336425701</v>
      </c>
      <c r="G15">
        <v>0.55627047225747595</v>
      </c>
      <c r="H15" t="s">
        <v>56</v>
      </c>
      <c r="I15">
        <v>47.098848654485401</v>
      </c>
      <c r="J15">
        <v>1.01391622052034</v>
      </c>
      <c r="K15" t="s">
        <v>57</v>
      </c>
    </row>
    <row r="16" spans="1:11" x14ac:dyDescent="0.25">
      <c r="A16" t="s">
        <v>58</v>
      </c>
      <c r="B16" t="s">
        <v>1</v>
      </c>
      <c r="C16">
        <v>42713.4</v>
      </c>
      <c r="D16">
        <v>150.461423627453</v>
      </c>
      <c r="E16" t="s">
        <v>59</v>
      </c>
      <c r="F16">
        <v>1.5498619079589799</v>
      </c>
      <c r="G16">
        <v>0.53367919900279404</v>
      </c>
      <c r="H16" t="s">
        <v>60</v>
      </c>
      <c r="I16">
        <v>48.447370483516501</v>
      </c>
      <c r="J16">
        <v>1.3794184523075901</v>
      </c>
      <c r="K16" t="s">
        <v>61</v>
      </c>
    </row>
    <row r="17" spans="1:11" x14ac:dyDescent="0.25">
      <c r="A17" t="s">
        <v>62</v>
      </c>
      <c r="B17" t="s">
        <v>6</v>
      </c>
      <c r="C17">
        <v>45863</v>
      </c>
      <c r="D17">
        <v>164.11093808762399</v>
      </c>
      <c r="E17" t="s">
        <v>63</v>
      </c>
      <c r="F17">
        <v>3.8184692382812502</v>
      </c>
      <c r="G17">
        <v>0.64065735380808697</v>
      </c>
      <c r="H17" t="s">
        <v>64</v>
      </c>
      <c r="I17">
        <v>45.519524933391203</v>
      </c>
      <c r="J17">
        <v>0.82521572696738899</v>
      </c>
      <c r="K17" t="s">
        <v>65</v>
      </c>
    </row>
    <row r="18" spans="1:11" x14ac:dyDescent="0.25">
      <c r="A18"/>
      <c r="B18"/>
      <c r="C18"/>
      <c r="D18"/>
      <c r="E18"/>
      <c r="F18"/>
      <c r="G18"/>
      <c r="H18"/>
      <c r="I18"/>
      <c r="J18"/>
      <c r="K18"/>
    </row>
    <row r="20" spans="1:11" x14ac:dyDescent="0.25">
      <c r="A20" s="1" t="s">
        <v>173</v>
      </c>
      <c r="C20" s="1">
        <f>AVERAGE(Table5[Mean Size])</f>
        <v>31448.6875</v>
      </c>
      <c r="D20" s="1">
        <f>AVERAGE(Table5[Standard Deviation Size])</f>
        <v>225.23670934235147</v>
      </c>
      <c r="F20" s="1">
        <f>AVERAGE(Table5[Mean MSE])</f>
        <v>2.2830178737640345</v>
      </c>
      <c r="G20" s="1">
        <f>AVERAGE(Table5[Standard Deviation MSE])</f>
        <v>0.54862052106820802</v>
      </c>
      <c r="I20" s="1">
        <f>AVERAGE(Table5[Mean PSNR])</f>
        <v>48.147348125134634</v>
      </c>
      <c r="J20" s="1">
        <f>AVERAGE(Table5[Standard Deviation PSNR])</f>
        <v>1.2737823168983144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BD54E-3902-46E3-96B1-6FF9C0C5E537}">
  <dimension ref="A1:K20"/>
  <sheetViews>
    <sheetView workbookViewId="0">
      <selection activeCell="C20" sqref="C20"/>
    </sheetView>
  </sheetViews>
  <sheetFormatPr defaultRowHeight="15" x14ac:dyDescent="0.25"/>
  <cols>
    <col min="1" max="1" width="9.5703125" bestFit="1" customWidth="1"/>
    <col min="3" max="3" width="12.42578125" bestFit="1" customWidth="1"/>
    <col min="4" max="4" width="24.5703125" bestFit="1" customWidth="1"/>
    <col min="5" max="5" width="35.140625" bestFit="1" customWidth="1"/>
    <col min="6" max="6" width="18.85546875" bestFit="1" customWidth="1"/>
    <col min="7" max="7" width="24.85546875" bestFit="1" customWidth="1"/>
    <col min="8" max="8" width="86.7109375" bestFit="1" customWidth="1"/>
    <col min="9" max="9" width="18.85546875" bestFit="1" customWidth="1"/>
    <col min="10" max="10" width="25.7109375" bestFit="1" customWidth="1"/>
    <col min="11" max="11" width="82.7109375" bestFit="1" customWidth="1"/>
  </cols>
  <sheetData>
    <row r="1" spans="1:11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 x14ac:dyDescent="0.25">
      <c r="A2" t="s">
        <v>0</v>
      </c>
      <c r="B2" t="s">
        <v>1</v>
      </c>
      <c r="C2">
        <v>18751.400000000001</v>
      </c>
      <c r="D2">
        <v>62.281939597286097</v>
      </c>
      <c r="E2" t="s">
        <v>77</v>
      </c>
      <c r="F2">
        <v>1.6226531982421799</v>
      </c>
      <c r="G2">
        <v>0.79580645072940603</v>
      </c>
      <c r="H2" t="s">
        <v>78</v>
      </c>
      <c r="I2">
        <v>48.641426513722898</v>
      </c>
      <c r="J2">
        <v>2.0439232187255598</v>
      </c>
      <c r="K2" t="s">
        <v>79</v>
      </c>
    </row>
    <row r="3" spans="1:11" x14ac:dyDescent="0.25">
      <c r="A3" t="s">
        <v>5</v>
      </c>
      <c r="B3" t="s">
        <v>6</v>
      </c>
      <c r="C3">
        <v>19365.599999999999</v>
      </c>
      <c r="D3">
        <v>71.455160765335904</v>
      </c>
      <c r="E3" t="s">
        <v>80</v>
      </c>
      <c r="F3">
        <v>2.6636848449707</v>
      </c>
      <c r="G3">
        <v>1.1779223450723699</v>
      </c>
      <c r="H3" t="s">
        <v>81</v>
      </c>
      <c r="I3">
        <v>46.7744329852151</v>
      </c>
      <c r="J3">
        <v>1.8842706003941401</v>
      </c>
      <c r="K3" t="s">
        <v>82</v>
      </c>
    </row>
    <row r="4" spans="1:11" x14ac:dyDescent="0.25">
      <c r="A4" t="s">
        <v>10</v>
      </c>
      <c r="B4" t="s">
        <v>1</v>
      </c>
      <c r="C4">
        <v>30787.200000000001</v>
      </c>
      <c r="D4">
        <v>33.8372575720905</v>
      </c>
      <c r="E4" t="s">
        <v>83</v>
      </c>
      <c r="F4">
        <v>1.9167091369628899</v>
      </c>
      <c r="G4">
        <v>0.82692519654191099</v>
      </c>
      <c r="H4" t="s">
        <v>84</v>
      </c>
      <c r="I4">
        <v>47.3593881092525</v>
      </c>
      <c r="J4">
        <v>1.6744347651137601</v>
      </c>
      <c r="K4" t="s">
        <v>85</v>
      </c>
    </row>
    <row r="5" spans="1:11" x14ac:dyDescent="0.25">
      <c r="A5" t="s">
        <v>14</v>
      </c>
      <c r="B5" t="s">
        <v>6</v>
      </c>
      <c r="C5">
        <v>34424</v>
      </c>
      <c r="D5">
        <v>40.9780429010464</v>
      </c>
      <c r="E5" t="s">
        <v>86</v>
      </c>
      <c r="F5">
        <v>4.1850173950195302</v>
      </c>
      <c r="G5">
        <v>1.24038259182222</v>
      </c>
      <c r="H5" t="s">
        <v>87</v>
      </c>
      <c r="I5">
        <v>44.125109254927601</v>
      </c>
      <c r="J5">
        <v>1.2062194712326999</v>
      </c>
      <c r="K5" t="s">
        <v>88</v>
      </c>
    </row>
    <row r="6" spans="1:11" hidden="1" x14ac:dyDescent="0.25">
      <c r="A6" t="s">
        <v>18</v>
      </c>
      <c r="B6" t="s">
        <v>1</v>
      </c>
      <c r="C6">
        <v>23947.599999999999</v>
      </c>
      <c r="D6">
        <v>48.483399220764198</v>
      </c>
      <c r="E6" t="s">
        <v>89</v>
      </c>
      <c r="F6">
        <v>1.5735260009765599</v>
      </c>
      <c r="G6">
        <v>0.73817178620016599</v>
      </c>
      <c r="H6" t="s">
        <v>90</v>
      </c>
      <c r="I6">
        <v>48.5299570817456</v>
      </c>
      <c r="J6">
        <v>1.9260943278762701</v>
      </c>
      <c r="K6" t="s">
        <v>91</v>
      </c>
    </row>
    <row r="7" spans="1:11" hidden="1" x14ac:dyDescent="0.25">
      <c r="A7" t="s">
        <v>22</v>
      </c>
      <c r="B7" t="s">
        <v>6</v>
      </c>
      <c r="C7">
        <v>27687.599999999999</v>
      </c>
      <c r="D7">
        <v>45.858914073492798</v>
      </c>
      <c r="E7" t="s">
        <v>92</v>
      </c>
      <c r="F7">
        <v>3.9195533752441398</v>
      </c>
      <c r="G7">
        <v>1.43322594075876</v>
      </c>
      <c r="H7" t="s">
        <v>93</v>
      </c>
      <c r="I7">
        <v>44.642365485209197</v>
      </c>
      <c r="J7">
        <v>1.5376587228327401</v>
      </c>
      <c r="K7" t="s">
        <v>94</v>
      </c>
    </row>
    <row r="8" spans="1:11" hidden="1" x14ac:dyDescent="0.25">
      <c r="A8" t="s">
        <v>26</v>
      </c>
      <c r="B8" t="s">
        <v>1</v>
      </c>
      <c r="C8">
        <v>33927.199999999997</v>
      </c>
      <c r="D8">
        <v>27.534705373401</v>
      </c>
      <c r="E8" t="s">
        <v>95</v>
      </c>
      <c r="F8">
        <v>1.84551086425781</v>
      </c>
      <c r="G8">
        <v>0.64810688732703003</v>
      </c>
      <c r="H8" t="s">
        <v>96</v>
      </c>
      <c r="I8">
        <v>47.429346070658703</v>
      </c>
      <c r="J8">
        <v>1.3823499914004</v>
      </c>
      <c r="K8" t="s">
        <v>97</v>
      </c>
    </row>
    <row r="9" spans="1:11" hidden="1" x14ac:dyDescent="0.25">
      <c r="A9" t="s">
        <v>30</v>
      </c>
      <c r="B9" t="s">
        <v>6</v>
      </c>
      <c r="C9">
        <v>38126</v>
      </c>
      <c r="D9">
        <v>28.962044126753199</v>
      </c>
      <c r="E9" t="s">
        <v>98</v>
      </c>
      <c r="F9">
        <v>4.37545852661132</v>
      </c>
      <c r="G9">
        <v>1.1135645698457799</v>
      </c>
      <c r="H9" t="s">
        <v>99</v>
      </c>
      <c r="I9">
        <v>43.988861060924201</v>
      </c>
      <c r="J9">
        <v>1.04374040813021</v>
      </c>
      <c r="K9" t="s">
        <v>100</v>
      </c>
    </row>
    <row r="10" spans="1:11" hidden="1" x14ac:dyDescent="0.25">
      <c r="A10" t="s">
        <v>34</v>
      </c>
      <c r="B10" t="s">
        <v>1</v>
      </c>
      <c r="C10">
        <v>23929.4</v>
      </c>
      <c r="D10">
        <v>20.732583051805101</v>
      </c>
      <c r="E10" t="s">
        <v>101</v>
      </c>
      <c r="F10">
        <v>1.31618270874023</v>
      </c>
      <c r="G10">
        <v>0.60819224623676305</v>
      </c>
      <c r="H10" t="s">
        <v>102</v>
      </c>
      <c r="I10">
        <v>48.919174185053997</v>
      </c>
      <c r="J10">
        <v>1.7930666877963899</v>
      </c>
      <c r="K10" t="s">
        <v>103</v>
      </c>
    </row>
    <row r="11" spans="1:11" hidden="1" x14ac:dyDescent="0.25">
      <c r="A11" t="s">
        <v>38</v>
      </c>
      <c r="B11" t="s">
        <v>6</v>
      </c>
      <c r="C11">
        <v>26667</v>
      </c>
      <c r="D11">
        <v>24.108089928486599</v>
      </c>
      <c r="E11" t="s">
        <v>104</v>
      </c>
      <c r="F11">
        <v>2.8261833190917902</v>
      </c>
      <c r="G11">
        <v>1.03694203428667</v>
      </c>
      <c r="H11" t="s">
        <v>105</v>
      </c>
      <c r="I11">
        <v>45.666541103765603</v>
      </c>
      <c r="J11">
        <v>1.4576075126062999</v>
      </c>
      <c r="K11" t="s">
        <v>106</v>
      </c>
    </row>
    <row r="12" spans="1:11" hidden="1" x14ac:dyDescent="0.25">
      <c r="A12" t="s">
        <v>42</v>
      </c>
      <c r="B12" t="s">
        <v>1</v>
      </c>
      <c r="C12">
        <v>31062.2</v>
      </c>
      <c r="D12">
        <v>23.608473055240101</v>
      </c>
      <c r="E12" t="s">
        <v>107</v>
      </c>
      <c r="F12">
        <v>1.7016860961914</v>
      </c>
      <c r="G12">
        <v>0.62358088127974398</v>
      </c>
      <c r="H12" t="s">
        <v>108</v>
      </c>
      <c r="I12">
        <v>47.808817714964498</v>
      </c>
      <c r="J12">
        <v>1.4462463419394</v>
      </c>
      <c r="K12" t="s">
        <v>109</v>
      </c>
    </row>
    <row r="13" spans="1:11" hidden="1" x14ac:dyDescent="0.25">
      <c r="A13" t="s">
        <v>46</v>
      </c>
      <c r="B13" t="s">
        <v>6</v>
      </c>
      <c r="C13">
        <v>33677</v>
      </c>
      <c r="D13">
        <v>32.168307384753703</v>
      </c>
      <c r="E13" t="s">
        <v>110</v>
      </c>
      <c r="F13">
        <v>3.1352447509765602</v>
      </c>
      <c r="G13">
        <v>1.0162211098649601</v>
      </c>
      <c r="H13" t="s">
        <v>111</v>
      </c>
      <c r="I13">
        <v>45.140324892170199</v>
      </c>
      <c r="J13">
        <v>1.2766428666774901</v>
      </c>
      <c r="K13" t="s">
        <v>112</v>
      </c>
    </row>
    <row r="14" spans="1:11" hidden="1" x14ac:dyDescent="0.25">
      <c r="A14" t="s">
        <v>50</v>
      </c>
      <c r="B14" t="s">
        <v>1</v>
      </c>
      <c r="C14">
        <v>25171</v>
      </c>
      <c r="D14">
        <v>29.543188724306599</v>
      </c>
      <c r="E14" t="s">
        <v>113</v>
      </c>
      <c r="F14">
        <v>1.44958190917968</v>
      </c>
      <c r="G14">
        <v>0.63500147799261197</v>
      </c>
      <c r="H14" t="s">
        <v>114</v>
      </c>
      <c r="I14">
        <v>48.551309499828797</v>
      </c>
      <c r="J14">
        <v>1.7084209594833399</v>
      </c>
      <c r="K14" t="s">
        <v>115</v>
      </c>
    </row>
    <row r="15" spans="1:11" hidden="1" x14ac:dyDescent="0.25">
      <c r="A15" t="s">
        <v>54</v>
      </c>
      <c r="B15" t="s">
        <v>6</v>
      </c>
      <c r="C15">
        <v>27100.400000000001</v>
      </c>
      <c r="D15">
        <v>32.903495255063703</v>
      </c>
      <c r="E15" t="s">
        <v>116</v>
      </c>
      <c r="F15">
        <v>3.17883911132812</v>
      </c>
      <c r="G15">
        <v>1.0605177120046201</v>
      </c>
      <c r="H15" t="s">
        <v>117</v>
      </c>
      <c r="I15">
        <v>45.508850403453103</v>
      </c>
      <c r="J15">
        <v>1.3620739720569399</v>
      </c>
      <c r="K15" t="s">
        <v>118</v>
      </c>
    </row>
    <row r="16" spans="1:11" x14ac:dyDescent="0.25">
      <c r="A16" t="s">
        <v>58</v>
      </c>
      <c r="B16" t="s">
        <v>1</v>
      </c>
      <c r="C16">
        <v>40361</v>
      </c>
      <c r="D16">
        <v>19.667231630303199</v>
      </c>
      <c r="E16" t="s">
        <v>119</v>
      </c>
      <c r="F16">
        <v>2.2717849731445301</v>
      </c>
      <c r="G16">
        <v>0.818351689511852</v>
      </c>
      <c r="H16" t="s">
        <v>120</v>
      </c>
      <c r="I16">
        <v>46.5624389702404</v>
      </c>
      <c r="J16">
        <v>1.4498691562327</v>
      </c>
      <c r="K16" t="s">
        <v>121</v>
      </c>
    </row>
    <row r="17" spans="1:11" x14ac:dyDescent="0.25">
      <c r="A17" t="s">
        <v>62</v>
      </c>
      <c r="B17" t="s">
        <v>6</v>
      </c>
      <c r="C17">
        <v>43570.400000000001</v>
      </c>
      <c r="D17">
        <v>36.092104399716</v>
      </c>
      <c r="E17" t="s">
        <v>122</v>
      </c>
      <c r="F17">
        <v>4.1129478454589803</v>
      </c>
      <c r="G17">
        <v>1.1719105040903901</v>
      </c>
      <c r="H17" t="s">
        <v>123</v>
      </c>
      <c r="I17">
        <v>44.139801261832901</v>
      </c>
      <c r="J17">
        <v>1.1598012968737901</v>
      </c>
      <c r="K17" t="s">
        <v>124</v>
      </c>
    </row>
    <row r="20" spans="1:11" x14ac:dyDescent="0.25">
      <c r="A20" t="s">
        <v>173</v>
      </c>
      <c r="C20">
        <f>AVERAGE(Table1[Mean Size])</f>
        <v>29909.687500000004</v>
      </c>
      <c r="D20">
        <f>AVERAGE(Table1[Standard Deviation Size])</f>
        <v>36.138433566240316</v>
      </c>
      <c r="F20">
        <f>AVERAGE(Table1[Mean MSE])</f>
        <v>2.6309102535247764</v>
      </c>
      <c r="G20">
        <f>AVERAGE(Table1[Standard Deviation MSE])</f>
        <v>0.93405146397282823</v>
      </c>
      <c r="I20">
        <f>AVERAGE(Table1[Mean PSNR])</f>
        <v>46.486759037060324</v>
      </c>
      <c r="J20">
        <f>AVERAGE(Table1[Standard Deviation PSNR])</f>
        <v>1.5220262687107584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A3E72-7FDF-4D1F-9C9E-CA4ED5253397}">
  <dimension ref="A1:K20"/>
  <sheetViews>
    <sheetView topLeftCell="C1" workbookViewId="0">
      <selection activeCell="J20" sqref="J20"/>
    </sheetView>
  </sheetViews>
  <sheetFormatPr defaultRowHeight="15" x14ac:dyDescent="0.25"/>
  <cols>
    <col min="1" max="1" width="9.5703125" bestFit="1" customWidth="1"/>
    <col min="3" max="3" width="12.42578125" bestFit="1" customWidth="1"/>
    <col min="4" max="4" width="24.5703125" bestFit="1" customWidth="1"/>
    <col min="5" max="5" width="38.85546875" bestFit="1" customWidth="1"/>
    <col min="6" max="6" width="19.85546875" bestFit="1" customWidth="1"/>
    <col min="7" max="7" width="24.85546875" bestFit="1" customWidth="1"/>
    <col min="8" max="8" width="86.7109375" bestFit="1" customWidth="1"/>
    <col min="9" max="9" width="18.85546875" bestFit="1" customWidth="1"/>
    <col min="10" max="10" width="25.7109375" bestFit="1" customWidth="1"/>
    <col min="11" max="11" width="79.7109375" bestFit="1" customWidth="1"/>
  </cols>
  <sheetData>
    <row r="1" spans="1:11" x14ac:dyDescent="0.25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 x14ac:dyDescent="0.25">
      <c r="A2" t="s">
        <v>0</v>
      </c>
      <c r="B2" t="s">
        <v>1</v>
      </c>
      <c r="C2">
        <v>27099.4</v>
      </c>
      <c r="D2">
        <v>25.780612870915199</v>
      </c>
      <c r="E2" t="s">
        <v>125</v>
      </c>
      <c r="F2">
        <v>7.98980712890624E-2</v>
      </c>
      <c r="G2">
        <v>4.4619201362991801E-2</v>
      </c>
      <c r="H2" t="s">
        <v>126</v>
      </c>
      <c r="I2">
        <v>61.6235202401366</v>
      </c>
      <c r="J2">
        <v>2.74496687877908</v>
      </c>
      <c r="K2" t="s">
        <v>127</v>
      </c>
    </row>
    <row r="3" spans="1:11" x14ac:dyDescent="0.25">
      <c r="A3" t="s">
        <v>5</v>
      </c>
      <c r="B3" t="s">
        <v>6</v>
      </c>
      <c r="C3">
        <v>19915.8</v>
      </c>
      <c r="D3">
        <v>32.987270272030699</v>
      </c>
      <c r="E3" t="s">
        <v>128</v>
      </c>
      <c r="F3">
        <v>0.42885437011718702</v>
      </c>
      <c r="G3">
        <v>0.245067780559655</v>
      </c>
      <c r="H3" t="s">
        <v>129</v>
      </c>
      <c r="I3">
        <v>54.178116551683701</v>
      </c>
      <c r="J3">
        <v>2.6889079221149998</v>
      </c>
      <c r="K3" t="s">
        <v>130</v>
      </c>
    </row>
    <row r="4" spans="1:11" x14ac:dyDescent="0.25">
      <c r="A4" t="s">
        <v>10</v>
      </c>
      <c r="B4" t="s">
        <v>1</v>
      </c>
      <c r="C4">
        <v>44737.2</v>
      </c>
      <c r="D4">
        <v>21.188676221038399</v>
      </c>
      <c r="E4" t="s">
        <v>131</v>
      </c>
      <c r="F4">
        <v>9.0783691406249895E-2</v>
      </c>
      <c r="G4">
        <v>5.3213679339667801E-2</v>
      </c>
      <c r="H4" t="s">
        <v>132</v>
      </c>
      <c r="I4">
        <v>61.187340231269403</v>
      </c>
      <c r="J4">
        <v>2.8141398345241599</v>
      </c>
      <c r="K4" t="s">
        <v>133</v>
      </c>
    </row>
    <row r="5" spans="1:11" x14ac:dyDescent="0.25">
      <c r="A5" t="s">
        <v>14</v>
      </c>
      <c r="B5" t="s">
        <v>6</v>
      </c>
      <c r="C5">
        <v>35839.800000000003</v>
      </c>
      <c r="D5">
        <v>12.6712272491657</v>
      </c>
      <c r="E5" t="s">
        <v>134</v>
      </c>
      <c r="F5">
        <v>0.53850097656249996</v>
      </c>
      <c r="G5">
        <v>0.31780364285215401</v>
      </c>
      <c r="H5" t="s">
        <v>135</v>
      </c>
      <c r="I5">
        <v>53.489290395783797</v>
      </c>
      <c r="J5">
        <v>2.8802410463891901</v>
      </c>
      <c r="K5" t="s">
        <v>136</v>
      </c>
    </row>
    <row r="6" spans="1:11" x14ac:dyDescent="0.25">
      <c r="A6" t="s">
        <v>18</v>
      </c>
      <c r="B6" t="s">
        <v>1</v>
      </c>
      <c r="C6">
        <v>33767.4</v>
      </c>
      <c r="D6">
        <v>16.0324670590648</v>
      </c>
      <c r="E6" t="s">
        <v>137</v>
      </c>
      <c r="F6">
        <v>8.24295043945312E-2</v>
      </c>
      <c r="G6">
        <v>4.5445175511535797E-2</v>
      </c>
      <c r="H6" t="s">
        <v>138</v>
      </c>
      <c r="I6">
        <v>61.483279287416501</v>
      </c>
      <c r="J6">
        <v>2.64540246162092</v>
      </c>
      <c r="K6" t="s">
        <v>139</v>
      </c>
    </row>
    <row r="7" spans="1:11" x14ac:dyDescent="0.25">
      <c r="A7" t="s">
        <v>22</v>
      </c>
      <c r="B7" t="s">
        <v>6</v>
      </c>
      <c r="C7">
        <v>28778.799999999999</v>
      </c>
      <c r="D7">
        <v>18.454267799075598</v>
      </c>
      <c r="E7" t="s">
        <v>140</v>
      </c>
      <c r="F7">
        <v>0.60965728759765603</v>
      </c>
      <c r="G7">
        <v>0.36415575367631098</v>
      </c>
      <c r="H7" t="s">
        <v>141</v>
      </c>
      <c r="I7">
        <v>52.878672118332801</v>
      </c>
      <c r="J7">
        <v>2.7811050614870299</v>
      </c>
      <c r="K7" t="s">
        <v>142</v>
      </c>
    </row>
    <row r="8" spans="1:11" x14ac:dyDescent="0.25">
      <c r="A8" t="s">
        <v>26</v>
      </c>
      <c r="B8" t="s">
        <v>1</v>
      </c>
      <c r="C8">
        <v>49156.800000000003</v>
      </c>
      <c r="D8">
        <v>19.425756098540901</v>
      </c>
      <c r="E8" t="s">
        <v>143</v>
      </c>
      <c r="F8">
        <v>8.28277587890624E-2</v>
      </c>
      <c r="G8">
        <v>4.6159257939430702E-2</v>
      </c>
      <c r="H8" t="s">
        <v>144</v>
      </c>
      <c r="I8">
        <v>61.4842401330109</v>
      </c>
      <c r="J8">
        <v>2.6868640423518499</v>
      </c>
      <c r="K8" t="s">
        <v>145</v>
      </c>
    </row>
    <row r="9" spans="1:11" x14ac:dyDescent="0.25">
      <c r="A9" t="s">
        <v>30</v>
      </c>
      <c r="B9" t="s">
        <v>6</v>
      </c>
      <c r="C9">
        <v>39748.199999999997</v>
      </c>
      <c r="D9">
        <v>11.989995829857399</v>
      </c>
      <c r="E9" t="s">
        <v>146</v>
      </c>
      <c r="F9">
        <v>0.486465454101562</v>
      </c>
      <c r="G9">
        <v>0.28729360902166201</v>
      </c>
      <c r="H9" t="s">
        <v>147</v>
      </c>
      <c r="I9">
        <v>53.870579923448602</v>
      </c>
      <c r="J9">
        <v>2.8218518434984499</v>
      </c>
      <c r="K9" t="s">
        <v>148</v>
      </c>
    </row>
    <row r="10" spans="1:11" x14ac:dyDescent="0.25">
      <c r="A10" t="s">
        <v>34</v>
      </c>
      <c r="B10" t="s">
        <v>1</v>
      </c>
      <c r="C10">
        <v>33491.4</v>
      </c>
      <c r="D10">
        <v>11.4297856497836</v>
      </c>
      <c r="E10" t="s">
        <v>149</v>
      </c>
      <c r="F10">
        <v>7.8316497802734197E-2</v>
      </c>
      <c r="G10">
        <v>4.4963817504195203E-2</v>
      </c>
      <c r="H10" t="s">
        <v>150</v>
      </c>
      <c r="I10">
        <v>61.702279993129899</v>
      </c>
      <c r="J10">
        <v>2.6961611622033401</v>
      </c>
      <c r="K10" t="s">
        <v>151</v>
      </c>
    </row>
    <row r="11" spans="1:11" x14ac:dyDescent="0.25">
      <c r="A11" t="s">
        <v>38</v>
      </c>
      <c r="B11" t="s">
        <v>6</v>
      </c>
      <c r="C11">
        <v>27679</v>
      </c>
      <c r="D11">
        <v>5.96657355607051</v>
      </c>
      <c r="E11" t="s">
        <v>152</v>
      </c>
      <c r="F11">
        <v>0.45169677734375002</v>
      </c>
      <c r="G11">
        <v>0.27479920640427602</v>
      </c>
      <c r="H11" t="s">
        <v>153</v>
      </c>
      <c r="I11">
        <v>54.277348086672198</v>
      </c>
      <c r="J11">
        <v>2.86052216596722</v>
      </c>
      <c r="K11" t="s">
        <v>154</v>
      </c>
    </row>
    <row r="12" spans="1:11" x14ac:dyDescent="0.25">
      <c r="A12" t="s">
        <v>42</v>
      </c>
      <c r="B12" t="s">
        <v>1</v>
      </c>
      <c r="C12">
        <v>44429.8</v>
      </c>
      <c r="D12">
        <v>13.377593206552501</v>
      </c>
      <c r="E12" t="s">
        <v>155</v>
      </c>
      <c r="F12">
        <v>7.9522705078124895E-2</v>
      </c>
      <c r="G12">
        <v>4.5094876686948497E-2</v>
      </c>
      <c r="H12" t="s">
        <v>156</v>
      </c>
      <c r="I12">
        <v>61.642824545198401</v>
      </c>
      <c r="J12">
        <v>2.6991271295339998</v>
      </c>
      <c r="K12" t="s">
        <v>157</v>
      </c>
    </row>
    <row r="13" spans="1:11" x14ac:dyDescent="0.25">
      <c r="A13" t="s">
        <v>46</v>
      </c>
      <c r="B13" t="s">
        <v>6</v>
      </c>
      <c r="C13">
        <v>35043.599999999999</v>
      </c>
      <c r="D13">
        <v>5.4626001134990601</v>
      </c>
      <c r="E13" t="s">
        <v>158</v>
      </c>
      <c r="F13">
        <v>0.41190414428710898</v>
      </c>
      <c r="G13">
        <v>0.25348763102614202</v>
      </c>
      <c r="H13" t="s">
        <v>159</v>
      </c>
      <c r="I13">
        <v>54.701162402593098</v>
      </c>
      <c r="J13">
        <v>2.9861511170482</v>
      </c>
      <c r="K13" t="s">
        <v>160</v>
      </c>
    </row>
    <row r="14" spans="1:11" x14ac:dyDescent="0.25">
      <c r="A14" t="s">
        <v>50</v>
      </c>
      <c r="B14" t="s">
        <v>1</v>
      </c>
      <c r="C14">
        <v>35695.599999999999</v>
      </c>
      <c r="D14">
        <v>18.736061485808499</v>
      </c>
      <c r="E14" t="s">
        <v>161</v>
      </c>
      <c r="F14">
        <v>7.8961944580078006E-2</v>
      </c>
      <c r="G14">
        <v>4.4886538715663699E-2</v>
      </c>
      <c r="H14" t="s">
        <v>162</v>
      </c>
      <c r="I14">
        <v>61.662967523317697</v>
      </c>
      <c r="J14">
        <v>2.6742295261893698</v>
      </c>
      <c r="K14" t="s">
        <v>163</v>
      </c>
    </row>
    <row r="15" spans="1:11" x14ac:dyDescent="0.25">
      <c r="A15" t="s">
        <v>54</v>
      </c>
      <c r="B15" t="s">
        <v>6</v>
      </c>
      <c r="C15">
        <v>28090</v>
      </c>
      <c r="D15">
        <v>11.13552872566</v>
      </c>
      <c r="E15" t="s">
        <v>164</v>
      </c>
      <c r="F15">
        <v>0.41607437133788999</v>
      </c>
      <c r="G15">
        <v>0.23741860425476799</v>
      </c>
      <c r="H15" t="s">
        <v>165</v>
      </c>
      <c r="I15">
        <v>54.454847373425999</v>
      </c>
      <c r="J15">
        <v>2.7306233430176401</v>
      </c>
      <c r="K15" t="s">
        <v>166</v>
      </c>
    </row>
    <row r="16" spans="1:11" x14ac:dyDescent="0.25">
      <c r="A16" t="s">
        <v>58</v>
      </c>
      <c r="B16" t="s">
        <v>1</v>
      </c>
      <c r="C16">
        <v>58438</v>
      </c>
      <c r="D16">
        <v>17.742604092973501</v>
      </c>
      <c r="E16" t="s">
        <v>167</v>
      </c>
      <c r="F16">
        <v>9.3754577636718697E-2</v>
      </c>
      <c r="G16">
        <v>5.3532838663387802E-2</v>
      </c>
      <c r="H16" t="s">
        <v>168</v>
      </c>
      <c r="I16">
        <v>60.965766741772299</v>
      </c>
      <c r="J16">
        <v>2.75612766682123</v>
      </c>
      <c r="K16" t="s">
        <v>169</v>
      </c>
    </row>
    <row r="17" spans="1:11" x14ac:dyDescent="0.25">
      <c r="A17" t="s">
        <v>62</v>
      </c>
      <c r="B17" t="s">
        <v>6</v>
      </c>
      <c r="C17">
        <v>45328.4</v>
      </c>
      <c r="D17">
        <v>15.1208465371486</v>
      </c>
      <c r="E17" t="s">
        <v>170</v>
      </c>
      <c r="F17">
        <v>0.475386810302734</v>
      </c>
      <c r="G17">
        <v>0.28085587328818901</v>
      </c>
      <c r="H17" t="s">
        <v>171</v>
      </c>
      <c r="I17">
        <v>54.015948960482497</v>
      </c>
      <c r="J17">
        <v>3.0257527555283001</v>
      </c>
      <c r="K17" t="s">
        <v>172</v>
      </c>
    </row>
    <row r="20" spans="1:11" x14ac:dyDescent="0.25">
      <c r="A20" t="s">
        <v>173</v>
      </c>
      <c r="C20">
        <f>AVERAGE(Table14[Mean Size])</f>
        <v>36702.450000000004</v>
      </c>
      <c r="D20">
        <f>AVERAGE(Table14[Standard Deviation Size])</f>
        <v>16.093866672949062</v>
      </c>
      <c r="F20">
        <f>AVERAGE(F2:F17)</f>
        <v>0.28031468391418435</v>
      </c>
      <c r="G20">
        <f>AVERAGE(Table14[Standard Deviation MSE])</f>
        <v>0.16492484292543619</v>
      </c>
      <c r="I20">
        <f>AVERAGE(Table14[Mean PSNR])</f>
        <v>57.726136531729658</v>
      </c>
      <c r="J20">
        <f>AVERAGE(Table14[Standard Deviation PSNR])</f>
        <v>2.7807608723171864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F5</vt:lpstr>
      <vt:lpstr>Outguess</vt:lpstr>
      <vt:lpstr>Steghide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Krisi</dc:creator>
  <cp:lastModifiedBy>Krisi</cp:lastModifiedBy>
  <dcterms:created xsi:type="dcterms:W3CDTF">2015-06-05T18:17:20Z</dcterms:created>
  <dcterms:modified xsi:type="dcterms:W3CDTF">2023-06-05T21:16:38Z</dcterms:modified>
</cp:coreProperties>
</file>