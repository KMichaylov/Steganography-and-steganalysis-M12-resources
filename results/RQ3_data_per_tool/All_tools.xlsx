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tudy Materials\Year 3 (2022-2023)\Module 12\Resources\Experiment_code\Steganography-and-steganalysis-M12-resources\results\RQ3_data_per_tool\"/>
    </mc:Choice>
  </mc:AlternateContent>
  <xr:revisionPtr revIDLastSave="0" documentId="13_ncr:1_{DB39F6DA-CE63-4003-BD35-77036EA34E5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F5" sheetId="1" r:id="rId1"/>
    <sheet name="Outguess" sheetId="2" r:id="rId2"/>
    <sheet name="Steghi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3" l="1"/>
  <c r="F20" i="3"/>
  <c r="G20" i="3"/>
  <c r="H20" i="3"/>
  <c r="I20" i="3"/>
  <c r="C20" i="3"/>
  <c r="D20" i="2"/>
  <c r="F20" i="2"/>
  <c r="G20" i="2"/>
  <c r="H20" i="2"/>
  <c r="I20" i="2"/>
  <c r="C20" i="2"/>
  <c r="F20" i="1"/>
  <c r="G20" i="1"/>
  <c r="H20" i="1"/>
  <c r="I20" i="1"/>
  <c r="D20" i="1"/>
  <c r="C20" i="1"/>
</calcChain>
</file>

<file path=xl/sharedStrings.xml><?xml version="1.0" encoding="utf-8"?>
<sst xmlns="http://schemas.openxmlformats.org/spreadsheetml/2006/main" count="174" uniqueCount="76">
  <si>
    <t>Name</t>
  </si>
  <si>
    <t>Color</t>
  </si>
  <si>
    <t>Mean Stego Images Size</t>
  </si>
  <si>
    <t>Standard Deviation of Stego Images Sizes</t>
  </si>
  <si>
    <t>Non-Stego Size - Stego Image Size</t>
  </si>
  <si>
    <t>Mean Stego Images MSE</t>
  </si>
  <si>
    <t>Standard Deviation of Stego Images MSE</t>
  </si>
  <si>
    <t>Mean PSNR</t>
  </si>
  <si>
    <t>Standard Deviation PSNR</t>
  </si>
  <si>
    <t>b-g-s.jpg</t>
  </si>
  <si>
    <t>grayscale</t>
  </si>
  <si>
    <t>[3533.0, 3559.0, 3585.0, 3987.0, 4513.0]</t>
  </si>
  <si>
    <t>b-s.jpg</t>
  </si>
  <si>
    <t>colourful</t>
  </si>
  <si>
    <t>[1381.0, 1416.0, 1445.0, 1846.0, 2462.0]</t>
  </si>
  <si>
    <t>c-g-s.jpg</t>
  </si>
  <si>
    <t>[6270.0, 6291.0, 6294.0, 6444.0, 6809.0]</t>
  </si>
  <si>
    <t>c-s.jpg</t>
  </si>
  <si>
    <t>[2013.0, 2016.0, 2044.0, 2213.0, 2489.0]</t>
  </si>
  <si>
    <t>fo-g-s.jpg</t>
  </si>
  <si>
    <t>[3613.0, 3620.0, 3657.0, 3841.0, 4161.0]</t>
  </si>
  <si>
    <t>fo-s.jpg</t>
  </si>
  <si>
    <t>[1727.0, 1754.0, 1780.0, 1980.0, 2288.0]</t>
  </si>
  <si>
    <t>n-g-s.jpg</t>
  </si>
  <si>
    <t>[6267.0, 6283.0, 6282.0, 6431.0, 6701.0]</t>
  </si>
  <si>
    <t>n-s.jpg</t>
  </si>
  <si>
    <t>[1748.0, 1758.0, 1787.0, 1921.0, 2214.0]</t>
  </si>
  <si>
    <t>p-g-s.jpg</t>
  </si>
  <si>
    <t>[3476.0, 3497.0, 3527.0, 3724.0, 4075.0]</t>
  </si>
  <si>
    <t>p-s.jpg</t>
  </si>
  <si>
    <t>[1918.0, 1945.0, 1965.0, 2204.0, 2633.0]</t>
  </si>
  <si>
    <t>r-g-s.jpg</t>
  </si>
  <si>
    <t>[5236.0, 5242.0, 5255.0, 5415.0, 5733.0]</t>
  </si>
  <si>
    <t>r-s.jpg</t>
  </si>
  <si>
    <t>[1841.0, 1847.0, 1884.0, 2012.0, 2310.0]</t>
  </si>
  <si>
    <t>se-g-s.jpg</t>
  </si>
  <si>
    <t>[4039.0, 4072.0, 4091.0, 4301.0, 4651.0]</t>
  </si>
  <si>
    <t>se-s.jpg</t>
  </si>
  <si>
    <t>[1987.0, 1992.0, 2013.0, 2260.0, 2664.0]</t>
  </si>
  <si>
    <t>st-g-s.jpg</t>
  </si>
  <si>
    <t>[7174.0, 7192.0, 7197.0, 7357.0, 7568.0]</t>
  </si>
  <si>
    <t>st-s.jpg</t>
  </si>
  <si>
    <t>[1636.0, 1660.0, 1667.0, 1791.0, 2076.0]</t>
  </si>
  <si>
    <t>[4481.0, 4474.0, 4461.0, 4395.0, 4317.0]</t>
  </si>
  <si>
    <t>[2265.0, 2260.0, 2251.0, 2156.0, 2085.0]</t>
  </si>
  <si>
    <t>[8155.0, 8160.0, 8159.0, 8099.0, 8081.0]</t>
  </si>
  <si>
    <t>[3956.0, 3946.0, 3942.0, 3907.0, 3844.0]</t>
  </si>
  <si>
    <t>[5081.0, 5063.0, 5068.0, 5028.0, 4947.0]</t>
  </si>
  <si>
    <t>[3328.0, 3329.0, 3314.0, 3266.0, 3210.0]</t>
  </si>
  <si>
    <t>[8438.0, 8424.0, 8427.0, 8399.0, 8361.0]</t>
  </si>
  <si>
    <t>[4012.0, 4001.0, 4012.0, 3980.0, 3935.0]</t>
  </si>
  <si>
    <t>[4912.0, 4894.0, 4911.0, 4879.0, 4857.0]</t>
  </si>
  <si>
    <t>[3459.0, 3461.0, 3454.0, 3428.0, 3398.0]</t>
  </si>
  <si>
    <t>[7174.0, 7178.0, 7181.0, 7164.0, 7117.0]</t>
  </si>
  <si>
    <t>[3840.0, 3835.0, 3821.0, 3797.0, 3752.0]</t>
  </si>
  <si>
    <t>[5513.0, 5496.0, 5486.0, 5462.0, 5428.0]</t>
  </si>
  <si>
    <t>[3475.0, 3465.0, 3459.0, 3430.0, 3384.0]</t>
  </si>
  <si>
    <t>[9656.0, 9667.0, 9671.0, 9638.0, 9618.0]</t>
  </si>
  <si>
    <t>[4078.0, 4085.0, 4083.0, 4058.0, 3989.0]</t>
  </si>
  <si>
    <t>[-3901.0, -3895.0, -3909.0, -3953.0, -3954.0]</t>
  </si>
  <si>
    <t>[1691.0, 1679.0, 1665.0, 1629.0, 1602.0]</t>
  </si>
  <si>
    <t>[-5801.0, -5835.0, -5815.0, -5794.0, -5851.0]</t>
  </si>
  <si>
    <t>[2510.0, 2520.0, 2507.0, 2496.0, 2483.0]</t>
  </si>
  <si>
    <t>[-4793.0, -4799.0, -4792.0, -4756.0, -4772.0]</t>
  </si>
  <si>
    <t>[2223.0, 2211.0, 2200.0, 2187.0, 2170.0]</t>
  </si>
  <si>
    <t>[-6843.0, -6800.0, -6838.0, -6823.0, -6795.0]</t>
  </si>
  <si>
    <t>[2387.0, 2364.0, 2369.0, 2354.0, 2355.0]</t>
  </si>
  <si>
    <t>[-4661.0, -4676.0, -4674.0, -4689.0, -4657.0]</t>
  </si>
  <si>
    <t>[2439.0, 2426.0, 2428.0, 2426.0, 2421.0]</t>
  </si>
  <si>
    <t>[-6206.0, -6191.0, -6189.0, -6214.0, -6224.0]</t>
  </si>
  <si>
    <t>[2444.0, 2443.0, 2445.0, 2432.0, 2448.0]</t>
  </si>
  <si>
    <t>[-5074.0, -5054.0, -5050.0, -5044.0, -5016.0]</t>
  </si>
  <si>
    <t>[2468.0, 2457.0, 2450.0, 2456.0, 2434.0]</t>
  </si>
  <si>
    <t>[-8412.0, -8415.0, -8431.0, -8460.0, -8417.0]</t>
  </si>
  <si>
    <t>[2319.0, 2310.0, 2298.0, 2302.0, 2274.0]</t>
  </si>
  <si>
    <t>AVRG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</si>
</sst>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642912-174C-4540-979E-6E2528849DD1}" name="Table3" displayName="Table3" ref="A1:I17" totalsRowShown="0">
  <autoFilter ref="A1:I17" xr:uid="{7F642912-174C-4540-979E-6E2528849DD1}"/>
  <tableColumns count="9">
    <tableColumn id="1" xr3:uid="{48BD674C-914C-4AEF-9571-39BFA8913FE6}" name="Name"/>
    <tableColumn id="2" xr3:uid="{18F395F7-E4E3-4EB0-A0FD-175D7FD96358}" name="Color"/>
    <tableColumn id="3" xr3:uid="{EAA2954B-8796-40E6-91AF-47E3B1F1AB3A}" name="Mean Stego Images Size"/>
    <tableColumn id="4" xr3:uid="{E9401374-E958-499C-BBE7-049483D71E74}" name="Standard Deviation of Stego Images Sizes"/>
    <tableColumn id="5" xr3:uid="{695D554D-3FB9-4728-B070-A1D094437E9E}" name="Non-Stego Size - Stego Image Size"/>
    <tableColumn id="6" xr3:uid="{FBFAC485-823D-453E-A00C-C7FE8424B02E}" name="Mean Stego Images MSE"/>
    <tableColumn id="7" xr3:uid="{91F629EF-B7A3-40B6-928C-E14DE7142AEC}" name="Standard Deviation of Stego Images MSE"/>
    <tableColumn id="8" xr3:uid="{26BBFD43-95E2-4BBE-9CCE-2BDC31B6B5A3}" name="Mean PSNR"/>
    <tableColumn id="9" xr3:uid="{5E1492B4-9B86-4AC5-9087-F545215E9443}" name="Standard Deviation PSNR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78935-9AF1-4F07-B89F-A1908890040E}" name="Table1" displayName="Table1" ref="A1:I17" totalsRowShown="0">
  <autoFilter ref="A1:I17" xr:uid="{75F78935-9AF1-4F07-B89F-A1908890040E}"/>
  <tableColumns count="9">
    <tableColumn id="1" xr3:uid="{0F38B330-1D20-471B-9B48-13684A85361D}" name="Name"/>
    <tableColumn id="2" xr3:uid="{7941E050-A03F-4D70-982C-C0064E7D3DEF}" name="Color"/>
    <tableColumn id="3" xr3:uid="{F38611BD-0CC5-4C5D-B5F2-063D6271271F}" name="Mean Stego Images Size"/>
    <tableColumn id="4" xr3:uid="{3AE4EA1D-E940-464F-84F4-0A2068D21780}" name="Standard Deviation of Stego Images Sizes"/>
    <tableColumn id="5" xr3:uid="{A7730D53-362A-40F3-84A7-15B82A3F3A6B}" name="Non-Stego Size - Stego Image Size"/>
    <tableColumn id="6" xr3:uid="{7B65C2A1-E699-43DA-AE6C-C1054B1A2EF8}" name="Mean Stego Images MSE"/>
    <tableColumn id="7" xr3:uid="{0A20E09B-2A34-4661-A034-0C2617E4831A}" name="Standard Deviation of Stego Images MSE"/>
    <tableColumn id="8" xr3:uid="{FFD47BC0-B312-4A49-BD68-C645379D7F79}" name="Mean PSNR"/>
    <tableColumn id="9" xr3:uid="{57AA6248-8895-43EF-AE6B-7EEF65A40A0B}" name="Standard Deviation PSN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44BAE64-6B5A-4808-9430-95C64CE45BF2}" name="Table35" displayName="Table35" ref="A1:I17" totalsRowShown="0">
  <autoFilter ref="A1:I17" xr:uid="{744BAE64-6B5A-4808-9430-95C64CE45BF2}"/>
  <tableColumns count="9">
    <tableColumn id="1" xr3:uid="{E7E29722-6B6C-469A-865F-AD93CD7114AD}" name="Name"/>
    <tableColumn id="2" xr3:uid="{85B0B74F-6450-434D-B693-2738247325F7}" name="Color"/>
    <tableColumn id="3" xr3:uid="{50CD72FA-3877-41EF-A1D5-630FFBB93A44}" name="Mean Stego Images Size"/>
    <tableColumn id="4" xr3:uid="{B142BA41-5143-420C-998F-F18AD43A86E4}" name="Standard Deviation of Stego Images Sizes"/>
    <tableColumn id="5" xr3:uid="{F67D08C9-F3B3-4590-9294-E127D3BAAD0E}" name="Non-Stego Size - Stego Image Size"/>
    <tableColumn id="6" xr3:uid="{553D8BB3-5A2B-461E-AA39-0A39FC5E81AA}" name="Mean Stego Images MSE"/>
    <tableColumn id="7" xr3:uid="{1E44D6D6-6C8F-4016-B267-0AFBAAC8998A}" name="Standard Deviation of Stego Images MSE"/>
    <tableColumn id="8" xr3:uid="{F6ED5B60-B48E-43FF-AF6D-E47E53C0C276}" name="Mean PSNR"/>
    <tableColumn id="9" xr3:uid="{835B42A1-133B-4D68-98E8-AF16CEBEA6A2}" name="Standard Deviation PSN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orkbookViewId="0">
      <selection activeCell="A20" sqref="A20"/>
    </sheetView>
  </sheetViews>
  <sheetFormatPr defaultRowHeight="15" x14ac:dyDescent="0.25"/>
  <cols>
    <col min="1" max="1" width="9.5703125" style="1" bestFit="1" customWidth="1"/>
    <col min="2" max="2" width="9.140625" style="1"/>
    <col min="3" max="3" width="25" style="1" bestFit="1" customWidth="1"/>
    <col min="4" max="4" width="40.42578125" style="1" bestFit="1" customWidth="1"/>
    <col min="5" max="5" width="35.140625" style="1" bestFit="1" customWidth="1"/>
    <col min="6" max="6" width="25.28515625" style="1" bestFit="1" customWidth="1"/>
    <col min="7" max="7" width="39.7109375" style="1" bestFit="1" customWidth="1"/>
    <col min="8" max="8" width="18.85546875" style="1" bestFit="1" customWidth="1"/>
    <col min="9" max="9" width="25.7109375" style="1" bestFit="1" customWidth="1"/>
    <col min="10" max="16384" width="9.140625" style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19341.599999999999</v>
      </c>
      <c r="D2">
        <v>377.53601152737701</v>
      </c>
      <c r="E2" t="s">
        <v>11</v>
      </c>
      <c r="F2">
        <v>0.69442138671874998</v>
      </c>
      <c r="G2">
        <v>0.40419938796004801</v>
      </c>
      <c r="H2">
        <v>50.344029303416299</v>
      </c>
      <c r="I2">
        <v>2.2387725528363398</v>
      </c>
    </row>
    <row r="3" spans="1:9" x14ac:dyDescent="0.25">
      <c r="A3" t="s">
        <v>12</v>
      </c>
      <c r="B3" t="s">
        <v>13</v>
      </c>
      <c r="C3">
        <v>19859</v>
      </c>
      <c r="D3">
        <v>412.04417238932001</v>
      </c>
      <c r="E3" t="s">
        <v>14</v>
      </c>
      <c r="F3">
        <v>1.3527242024739501</v>
      </c>
      <c r="G3">
        <v>0.43081161743184798</v>
      </c>
      <c r="H3">
        <v>47.010942139146302</v>
      </c>
      <c r="I3">
        <v>1.24754451870508</v>
      </c>
    </row>
    <row r="4" spans="1:9" x14ac:dyDescent="0.25">
      <c r="A4" t="s">
        <v>15</v>
      </c>
      <c r="B4" t="s">
        <v>10</v>
      </c>
      <c r="C4">
        <v>32496.400000000001</v>
      </c>
      <c r="D4">
        <v>203.42133614741499</v>
      </c>
      <c r="E4" t="s">
        <v>16</v>
      </c>
      <c r="F4">
        <v>0.80371475219726496</v>
      </c>
      <c r="G4">
        <v>0.33915836111570302</v>
      </c>
      <c r="H4">
        <v>49.401904600759401</v>
      </c>
      <c r="I4">
        <v>1.59480841765766</v>
      </c>
    </row>
    <row r="5" spans="1:9" x14ac:dyDescent="0.25">
      <c r="A5" t="s">
        <v>17</v>
      </c>
      <c r="B5" t="s">
        <v>13</v>
      </c>
      <c r="C5">
        <v>36188</v>
      </c>
      <c r="D5">
        <v>182.60668114830801</v>
      </c>
      <c r="E5" t="s">
        <v>18</v>
      </c>
      <c r="F5">
        <v>1.9349156697591099</v>
      </c>
      <c r="G5">
        <v>0.44336171604107699</v>
      </c>
      <c r="H5">
        <v>45.3654099415932</v>
      </c>
      <c r="I5">
        <v>0.90971739089798098</v>
      </c>
    </row>
    <row r="6" spans="1:9" x14ac:dyDescent="0.25">
      <c r="A6" t="s">
        <v>19</v>
      </c>
      <c r="B6" t="s">
        <v>10</v>
      </c>
      <c r="C6">
        <v>25206.6</v>
      </c>
      <c r="D6">
        <v>208.56039892558701</v>
      </c>
      <c r="E6" t="s">
        <v>20</v>
      </c>
      <c r="F6">
        <v>0.60816268920898398</v>
      </c>
      <c r="G6">
        <v>0.28590371619440103</v>
      </c>
      <c r="H6">
        <v>50.701658440414903</v>
      </c>
      <c r="I6">
        <v>1.8130814535958399</v>
      </c>
    </row>
    <row r="7" spans="1:9" x14ac:dyDescent="0.25">
      <c r="A7" t="s">
        <v>21</v>
      </c>
      <c r="B7" t="s">
        <v>13</v>
      </c>
      <c r="C7">
        <v>29071.200000000001</v>
      </c>
      <c r="D7">
        <v>210.91268335498401</v>
      </c>
      <c r="E7" t="s">
        <v>22</v>
      </c>
      <c r="F7">
        <v>1.97653299967447</v>
      </c>
      <c r="G7">
        <v>0.56590626610321204</v>
      </c>
      <c r="H7">
        <v>45.329266354596498</v>
      </c>
      <c r="I7">
        <v>1.13330831831983</v>
      </c>
    </row>
    <row r="8" spans="1:9" x14ac:dyDescent="0.25">
      <c r="A8" t="s">
        <v>23</v>
      </c>
      <c r="B8" t="s">
        <v>10</v>
      </c>
      <c r="C8">
        <v>35944.199999999997</v>
      </c>
      <c r="D8">
        <v>165.29053209424899</v>
      </c>
      <c r="E8" t="s">
        <v>24</v>
      </c>
      <c r="F8">
        <v>0.66802368164062498</v>
      </c>
      <c r="G8">
        <v>0.18651778925961801</v>
      </c>
      <c r="H8">
        <v>50.031593482589997</v>
      </c>
      <c r="I8">
        <v>1.09941617725994</v>
      </c>
    </row>
    <row r="9" spans="1:9" x14ac:dyDescent="0.25">
      <c r="A9" t="s">
        <v>25</v>
      </c>
      <c r="B9" t="s">
        <v>13</v>
      </c>
      <c r="C9">
        <v>40228.400000000001</v>
      </c>
      <c r="D9">
        <v>175.52048313515999</v>
      </c>
      <c r="E9" t="s">
        <v>26</v>
      </c>
      <c r="F9">
        <v>1.9868878682454401</v>
      </c>
      <c r="G9">
        <v>0.34336064655002702</v>
      </c>
      <c r="H9">
        <v>45.207834219450703</v>
      </c>
      <c r="I9">
        <v>0.69682241144787405</v>
      </c>
    </row>
    <row r="10" spans="1:9" x14ac:dyDescent="0.25">
      <c r="A10" t="s">
        <v>27</v>
      </c>
      <c r="B10" t="s">
        <v>10</v>
      </c>
      <c r="C10">
        <v>25160.2</v>
      </c>
      <c r="D10">
        <v>225.58138221050001</v>
      </c>
      <c r="E10" t="s">
        <v>28</v>
      </c>
      <c r="F10">
        <v>0.50692520141601505</v>
      </c>
      <c r="G10">
        <v>0.21616617070874899</v>
      </c>
      <c r="H10">
        <v>51.415765736484303</v>
      </c>
      <c r="I10">
        <v>1.6318772852343</v>
      </c>
    </row>
    <row r="11" spans="1:9" x14ac:dyDescent="0.25">
      <c r="A11" t="s">
        <v>29</v>
      </c>
      <c r="B11" t="s">
        <v>13</v>
      </c>
      <c r="C11">
        <v>27974</v>
      </c>
      <c r="D11">
        <v>270.12367537851901</v>
      </c>
      <c r="E11" t="s">
        <v>30</v>
      </c>
      <c r="F11">
        <v>1.42962900797526</v>
      </c>
      <c r="G11">
        <v>0.37286620260873898</v>
      </c>
      <c r="H11">
        <v>46.709096246487199</v>
      </c>
      <c r="I11">
        <v>1.0315784011467899</v>
      </c>
    </row>
    <row r="12" spans="1:9" x14ac:dyDescent="0.25">
      <c r="A12" t="s">
        <v>31</v>
      </c>
      <c r="B12" t="s">
        <v>10</v>
      </c>
      <c r="C12">
        <v>32848.800000000003</v>
      </c>
      <c r="D12">
        <v>190.350623849778</v>
      </c>
      <c r="E12" t="s">
        <v>32</v>
      </c>
      <c r="F12">
        <v>0.629119873046875</v>
      </c>
      <c r="G12">
        <v>0.235614418585983</v>
      </c>
      <c r="H12">
        <v>50.401849105386802</v>
      </c>
      <c r="I12">
        <v>1.43551489897888</v>
      </c>
    </row>
    <row r="13" spans="1:9" x14ac:dyDescent="0.25">
      <c r="A13" t="s">
        <v>33</v>
      </c>
      <c r="B13" t="s">
        <v>13</v>
      </c>
      <c r="C13">
        <v>35507.199999999997</v>
      </c>
      <c r="D13">
        <v>176.71604341428599</v>
      </c>
      <c r="E13" t="s">
        <v>34</v>
      </c>
      <c r="F13">
        <v>1.5241953531901</v>
      </c>
      <c r="G13">
        <v>0.282203447274328</v>
      </c>
      <c r="H13">
        <v>46.367746375414001</v>
      </c>
      <c r="I13">
        <v>0.74570796779133497</v>
      </c>
    </row>
    <row r="14" spans="1:9" x14ac:dyDescent="0.25">
      <c r="A14" t="s">
        <v>35</v>
      </c>
      <c r="B14" t="s">
        <v>10</v>
      </c>
      <c r="C14">
        <v>26417.200000000001</v>
      </c>
      <c r="D14">
        <v>229.36643172007501</v>
      </c>
      <c r="E14" t="s">
        <v>36</v>
      </c>
      <c r="F14">
        <v>0.55448226928710898</v>
      </c>
      <c r="G14">
        <v>0.227032176896278</v>
      </c>
      <c r="H14">
        <v>51.004729985021498</v>
      </c>
      <c r="I14">
        <v>1.58381687670585</v>
      </c>
    </row>
    <row r="15" spans="1:9" x14ac:dyDescent="0.25">
      <c r="A15" t="s">
        <v>37</v>
      </c>
      <c r="B15" t="s">
        <v>13</v>
      </c>
      <c r="C15">
        <v>28359.8</v>
      </c>
      <c r="D15">
        <v>261.18453246698903</v>
      </c>
      <c r="E15" t="s">
        <v>38</v>
      </c>
      <c r="F15">
        <v>1.30555394490559</v>
      </c>
      <c r="G15">
        <v>0.334278896882229</v>
      </c>
      <c r="H15">
        <v>47.098848654485401</v>
      </c>
      <c r="I15">
        <v>1.01391622052034</v>
      </c>
    </row>
    <row r="16" spans="1:9" x14ac:dyDescent="0.25">
      <c r="A16" t="s">
        <v>39</v>
      </c>
      <c r="B16" t="s">
        <v>10</v>
      </c>
      <c r="C16">
        <v>42713.4</v>
      </c>
      <c r="D16">
        <v>150.461423627453</v>
      </c>
      <c r="E16" t="s">
        <v>40</v>
      </c>
      <c r="F16">
        <v>0.98176269531250004</v>
      </c>
      <c r="G16">
        <v>0.34901167257228299</v>
      </c>
      <c r="H16">
        <v>48.447370483516501</v>
      </c>
      <c r="I16">
        <v>1.3794184523075901</v>
      </c>
    </row>
    <row r="17" spans="1:9" x14ac:dyDescent="0.25">
      <c r="A17" t="s">
        <v>41</v>
      </c>
      <c r="B17" t="s">
        <v>13</v>
      </c>
      <c r="C17">
        <v>45863</v>
      </c>
      <c r="D17">
        <v>164.11093808762399</v>
      </c>
      <c r="E17" t="s">
        <v>42</v>
      </c>
      <c r="F17">
        <v>1.8596745808919199</v>
      </c>
      <c r="G17">
        <v>0.38517053374578403</v>
      </c>
      <c r="H17">
        <v>45.519524933391203</v>
      </c>
      <c r="I17">
        <v>0.82521572696739098</v>
      </c>
    </row>
    <row r="20" spans="1:9" x14ac:dyDescent="0.25">
      <c r="A20" s="1" t="s">
        <v>75</v>
      </c>
      <c r="C20" s="1">
        <f>AVERAGE(Table3[Mean Stego Images Size])</f>
        <v>31448.6875</v>
      </c>
      <c r="D20" s="1">
        <f>AVERAGE(Table3[Standard Deviation of Stego Images Sizes])</f>
        <v>225.23670934235147</v>
      </c>
      <c r="F20" s="1">
        <f>AVERAGE(Table3[Mean Stego Images MSE])</f>
        <v>1.1760453859964977</v>
      </c>
      <c r="G20" s="1">
        <f>AVERAGE(Table3[Standard Deviation of Stego Images MSE])</f>
        <v>0.33759768874564422</v>
      </c>
      <c r="H20" s="1">
        <f>AVERAGE(Table3[Mean PSNR])</f>
        <v>48.147348125134634</v>
      </c>
      <c r="I20" s="1">
        <f>AVERAGE(Table3[Standard Deviation PSNR])</f>
        <v>1.2737823168983138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BD54E-3902-46E3-96B1-6FF9C0C5E537}">
  <dimension ref="A1:I20"/>
  <sheetViews>
    <sheetView workbookViewId="0">
      <selection activeCell="I20" sqref="I20"/>
    </sheetView>
  </sheetViews>
  <sheetFormatPr defaultRowHeight="15" x14ac:dyDescent="0.25"/>
  <cols>
    <col min="1" max="1" width="9.5703125" bestFit="1" customWidth="1"/>
    <col min="3" max="3" width="25" bestFit="1" customWidth="1"/>
    <col min="4" max="4" width="40.42578125" bestFit="1" customWidth="1"/>
    <col min="5" max="5" width="35.140625" bestFit="1" customWidth="1"/>
    <col min="6" max="6" width="25.28515625" bestFit="1" customWidth="1"/>
    <col min="7" max="7" width="39.7109375" bestFit="1" customWidth="1"/>
    <col min="8" max="8" width="18.85546875" bestFit="1" customWidth="1"/>
    <col min="9" max="9" width="25.7109375" bestFit="1" customWidth="1"/>
    <col min="10" max="10" width="11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18751.400000000001</v>
      </c>
      <c r="D2">
        <v>62.281939597286097</v>
      </c>
      <c r="E2" t="s">
        <v>43</v>
      </c>
      <c r="F2">
        <v>1.0001358032226499</v>
      </c>
      <c r="G2">
        <v>0.51347463328628296</v>
      </c>
      <c r="H2">
        <v>48.641426513722898</v>
      </c>
      <c r="I2">
        <v>2.0439232187255598</v>
      </c>
    </row>
    <row r="3" spans="1:9" x14ac:dyDescent="0.25">
      <c r="A3" t="s">
        <v>12</v>
      </c>
      <c r="B3" t="s">
        <v>13</v>
      </c>
      <c r="C3">
        <v>19365.599999999999</v>
      </c>
      <c r="D3">
        <v>71.455160765335904</v>
      </c>
      <c r="E3" t="s">
        <v>44</v>
      </c>
      <c r="F3">
        <v>1.51059163411458</v>
      </c>
      <c r="G3">
        <v>0.71584123996428795</v>
      </c>
      <c r="H3">
        <v>46.7744329852151</v>
      </c>
      <c r="I3">
        <v>1.8842706003941401</v>
      </c>
    </row>
    <row r="4" spans="1:9" x14ac:dyDescent="0.25">
      <c r="A4" t="s">
        <v>15</v>
      </c>
      <c r="B4" t="s">
        <v>10</v>
      </c>
      <c r="C4">
        <v>30787.200000000001</v>
      </c>
      <c r="D4">
        <v>33.8372575720905</v>
      </c>
      <c r="E4" t="s">
        <v>45</v>
      </c>
      <c r="F4">
        <v>1.29221038818359</v>
      </c>
      <c r="G4">
        <v>0.54093717572330302</v>
      </c>
      <c r="H4">
        <v>47.3593881092525</v>
      </c>
      <c r="I4">
        <v>1.6744347651137601</v>
      </c>
    </row>
    <row r="5" spans="1:9" x14ac:dyDescent="0.25">
      <c r="A5" t="s">
        <v>17</v>
      </c>
      <c r="B5" t="s">
        <v>13</v>
      </c>
      <c r="C5">
        <v>34424</v>
      </c>
      <c r="D5">
        <v>40.9780429010464</v>
      </c>
      <c r="E5" t="s">
        <v>46</v>
      </c>
      <c r="F5">
        <v>2.6200388590494699</v>
      </c>
      <c r="G5">
        <v>0.79154793146865499</v>
      </c>
      <c r="H5">
        <v>44.125109254927601</v>
      </c>
      <c r="I5">
        <v>1.2062194712326999</v>
      </c>
    </row>
    <row r="6" spans="1:9" x14ac:dyDescent="0.25">
      <c r="A6" t="s">
        <v>19</v>
      </c>
      <c r="B6" t="s">
        <v>10</v>
      </c>
      <c r="C6">
        <v>23947.599999999999</v>
      </c>
      <c r="D6">
        <v>48.483399220764198</v>
      </c>
      <c r="E6" t="s">
        <v>47</v>
      </c>
      <c r="F6">
        <v>1.0127777099609301</v>
      </c>
      <c r="G6">
        <v>0.49032257700984999</v>
      </c>
      <c r="H6">
        <v>48.5299570817456</v>
      </c>
      <c r="I6">
        <v>1.9260943278762599</v>
      </c>
    </row>
    <row r="7" spans="1:9" x14ac:dyDescent="0.25">
      <c r="A7" t="s">
        <v>21</v>
      </c>
      <c r="B7" t="s">
        <v>13</v>
      </c>
      <c r="C7">
        <v>27687.599999999999</v>
      </c>
      <c r="D7">
        <v>45.858914073492798</v>
      </c>
      <c r="E7" t="s">
        <v>48</v>
      </c>
      <c r="F7">
        <v>2.3867825826009099</v>
      </c>
      <c r="G7">
        <v>0.924831882789797</v>
      </c>
      <c r="H7">
        <v>44.642365485209197</v>
      </c>
      <c r="I7">
        <v>1.5376587228327401</v>
      </c>
    </row>
    <row r="8" spans="1:9" x14ac:dyDescent="0.25">
      <c r="A8" t="s">
        <v>23</v>
      </c>
      <c r="B8" t="s">
        <v>10</v>
      </c>
      <c r="C8">
        <v>33927.199999999997</v>
      </c>
      <c r="D8">
        <v>27.534705373401</v>
      </c>
      <c r="E8" t="s">
        <v>49</v>
      </c>
      <c r="F8">
        <v>1.2402130126953099</v>
      </c>
      <c r="G8">
        <v>0.43078206547367898</v>
      </c>
      <c r="H8">
        <v>47.429346070658703</v>
      </c>
      <c r="I8">
        <v>1.3823499914004</v>
      </c>
    </row>
    <row r="9" spans="1:9" x14ac:dyDescent="0.25">
      <c r="A9" t="s">
        <v>25</v>
      </c>
      <c r="B9" t="s">
        <v>13</v>
      </c>
      <c r="C9">
        <v>38126</v>
      </c>
      <c r="D9">
        <v>28.962044126753199</v>
      </c>
      <c r="E9" t="s">
        <v>50</v>
      </c>
      <c r="F9">
        <v>2.6754079182942698</v>
      </c>
      <c r="G9">
        <v>0.69322879372572999</v>
      </c>
      <c r="H9">
        <v>43.988861060924201</v>
      </c>
      <c r="I9">
        <v>1.04374040813021</v>
      </c>
    </row>
    <row r="10" spans="1:9" x14ac:dyDescent="0.25">
      <c r="A10" t="s">
        <v>27</v>
      </c>
      <c r="B10" t="s">
        <v>10</v>
      </c>
      <c r="C10">
        <v>23929.4</v>
      </c>
      <c r="D10">
        <v>20.732583051805101</v>
      </c>
      <c r="E10" t="s">
        <v>51</v>
      </c>
      <c r="F10">
        <v>0.91293792724609302</v>
      </c>
      <c r="G10">
        <v>0.41019967120666201</v>
      </c>
      <c r="H10">
        <v>48.919174185053997</v>
      </c>
      <c r="I10">
        <v>1.7930666877963799</v>
      </c>
    </row>
    <row r="11" spans="1:9" x14ac:dyDescent="0.25">
      <c r="A11" t="s">
        <v>29</v>
      </c>
      <c r="B11" t="s">
        <v>13</v>
      </c>
      <c r="C11">
        <v>26667</v>
      </c>
      <c r="D11">
        <v>24.108089928486599</v>
      </c>
      <c r="E11" t="s">
        <v>52</v>
      </c>
      <c r="F11">
        <v>1.8721654256184801</v>
      </c>
      <c r="G11">
        <v>0.68339872802549895</v>
      </c>
      <c r="H11">
        <v>45.666541103765603</v>
      </c>
      <c r="I11">
        <v>1.4576075126062999</v>
      </c>
    </row>
    <row r="12" spans="1:9" x14ac:dyDescent="0.25">
      <c r="A12" t="s">
        <v>31</v>
      </c>
      <c r="B12" t="s">
        <v>10</v>
      </c>
      <c r="C12">
        <v>31062.2</v>
      </c>
      <c r="D12">
        <v>23.608473055240101</v>
      </c>
      <c r="E12" t="s">
        <v>53</v>
      </c>
      <c r="F12">
        <v>1.1421348571777299</v>
      </c>
      <c r="G12">
        <v>0.41374029451723099</v>
      </c>
      <c r="H12">
        <v>47.808817714964498</v>
      </c>
      <c r="I12">
        <v>1.4462463419394</v>
      </c>
    </row>
    <row r="13" spans="1:9" x14ac:dyDescent="0.25">
      <c r="A13" t="s">
        <v>33</v>
      </c>
      <c r="B13" t="s">
        <v>13</v>
      </c>
      <c r="C13">
        <v>33677</v>
      </c>
      <c r="D13">
        <v>32.168307384753703</v>
      </c>
      <c r="E13" t="s">
        <v>54</v>
      </c>
      <c r="F13">
        <v>2.0841308593750001</v>
      </c>
      <c r="G13">
        <v>0.66655739870363995</v>
      </c>
      <c r="H13">
        <v>45.140324892170199</v>
      </c>
      <c r="I13">
        <v>1.2766428666774901</v>
      </c>
    </row>
    <row r="14" spans="1:9" x14ac:dyDescent="0.25">
      <c r="A14" t="s">
        <v>35</v>
      </c>
      <c r="B14" t="s">
        <v>10</v>
      </c>
      <c r="C14">
        <v>25171</v>
      </c>
      <c r="D14">
        <v>29.543188724306599</v>
      </c>
      <c r="E14" t="s">
        <v>55</v>
      </c>
      <c r="F14">
        <v>0.98561706542968697</v>
      </c>
      <c r="G14">
        <v>0.42390964976637302</v>
      </c>
      <c r="H14">
        <v>48.551309499828797</v>
      </c>
      <c r="I14">
        <v>1.7084209594833399</v>
      </c>
    </row>
    <row r="15" spans="1:9" x14ac:dyDescent="0.25">
      <c r="A15" t="s">
        <v>37</v>
      </c>
      <c r="B15" t="s">
        <v>13</v>
      </c>
      <c r="C15">
        <v>27100.400000000001</v>
      </c>
      <c r="D15">
        <v>32.903495255063703</v>
      </c>
      <c r="E15" t="s">
        <v>56</v>
      </c>
      <c r="F15">
        <v>1.9272076924641901</v>
      </c>
      <c r="G15">
        <v>0.66214181064362798</v>
      </c>
      <c r="H15">
        <v>45.508850403453103</v>
      </c>
      <c r="I15">
        <v>1.3620739720569399</v>
      </c>
    </row>
    <row r="16" spans="1:9" x14ac:dyDescent="0.25">
      <c r="A16" t="s">
        <v>39</v>
      </c>
      <c r="B16" t="s">
        <v>10</v>
      </c>
      <c r="C16">
        <v>40361</v>
      </c>
      <c r="D16">
        <v>19.667231630303199</v>
      </c>
      <c r="E16" t="s">
        <v>57</v>
      </c>
      <c r="F16">
        <v>1.5218666076660099</v>
      </c>
      <c r="G16">
        <v>0.54938789444717795</v>
      </c>
      <c r="H16">
        <v>46.5624389702404</v>
      </c>
      <c r="I16">
        <v>1.4498691562327</v>
      </c>
    </row>
    <row r="17" spans="1:9" x14ac:dyDescent="0.25">
      <c r="A17" t="s">
        <v>41</v>
      </c>
      <c r="B17" t="s">
        <v>13</v>
      </c>
      <c r="C17">
        <v>43570.400000000001</v>
      </c>
      <c r="D17">
        <v>36.092104399716</v>
      </c>
      <c r="E17" t="s">
        <v>58</v>
      </c>
      <c r="F17">
        <v>2.60320790608723</v>
      </c>
      <c r="G17">
        <v>0.75713802193552004</v>
      </c>
      <c r="H17">
        <v>44.139801261832901</v>
      </c>
      <c r="I17">
        <v>1.1598012968737901</v>
      </c>
    </row>
    <row r="20" spans="1:9" x14ac:dyDescent="0.25">
      <c r="A20" t="s">
        <v>75</v>
      </c>
      <c r="C20">
        <f>AVERAGE(Table1[Mean Stego Images Size])</f>
        <v>29909.687500000004</v>
      </c>
      <c r="D20">
        <f>AVERAGE(Table1[Standard Deviation of Stego Images Sizes])</f>
        <v>36.138433566240316</v>
      </c>
      <c r="F20">
        <f>AVERAGE(Table1[Mean Stego Images MSE])</f>
        <v>1.6742141405741333</v>
      </c>
      <c r="G20">
        <f>AVERAGE(Table1[Standard Deviation of Stego Images MSE])</f>
        <v>0.60421498554295716</v>
      </c>
      <c r="H20">
        <f>AVERAGE(Table1[Mean PSNR])</f>
        <v>46.486759037060324</v>
      </c>
      <c r="I20">
        <f>AVERAGE(Table1[Standard Deviation PSNR])</f>
        <v>1.5220262687107571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A3E72-7FDF-4D1F-9C9E-CA4ED5253397}">
  <dimension ref="A1:I20"/>
  <sheetViews>
    <sheetView tabSelected="1" workbookViewId="0">
      <selection activeCell="E23" sqref="E23"/>
    </sheetView>
  </sheetViews>
  <sheetFormatPr defaultRowHeight="15" x14ac:dyDescent="0.25"/>
  <cols>
    <col min="1" max="1" width="9.5703125" bestFit="1" customWidth="1"/>
    <col min="3" max="3" width="25" bestFit="1" customWidth="1"/>
    <col min="4" max="4" width="40.42578125" bestFit="1" customWidth="1"/>
    <col min="5" max="5" width="38.85546875" bestFit="1" customWidth="1"/>
    <col min="6" max="6" width="25.28515625" bestFit="1" customWidth="1"/>
    <col min="7" max="7" width="39.7109375" bestFit="1" customWidth="1"/>
    <col min="8" max="8" width="18.85546875" bestFit="1" customWidth="1"/>
    <col min="9" max="9" width="2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27099.4</v>
      </c>
      <c r="D2">
        <v>25.780612870915199</v>
      </c>
      <c r="E2" t="s">
        <v>59</v>
      </c>
      <c r="F2">
        <v>5.3762054443359297E-2</v>
      </c>
      <c r="G2">
        <v>3.0057594159226299E-2</v>
      </c>
      <c r="H2">
        <v>61.6235202401366</v>
      </c>
      <c r="I2">
        <v>2.74496687877908</v>
      </c>
    </row>
    <row r="3" spans="1:9" x14ac:dyDescent="0.25">
      <c r="A3" t="s">
        <v>12</v>
      </c>
      <c r="B3" t="s">
        <v>13</v>
      </c>
      <c r="C3">
        <v>19915.8</v>
      </c>
      <c r="D3">
        <v>32.987270272030699</v>
      </c>
      <c r="E3" t="s">
        <v>60</v>
      </c>
      <c r="F3">
        <v>0.29788029988606701</v>
      </c>
      <c r="G3">
        <v>0.16879330619778099</v>
      </c>
      <c r="H3">
        <v>54.178116551683701</v>
      </c>
      <c r="I3">
        <v>2.6889079221149998</v>
      </c>
    </row>
    <row r="4" spans="1:9" x14ac:dyDescent="0.25">
      <c r="A4" t="s">
        <v>15</v>
      </c>
      <c r="B4" t="s">
        <v>10</v>
      </c>
      <c r="C4">
        <v>44737.2</v>
      </c>
      <c r="D4">
        <v>21.188676221038399</v>
      </c>
      <c r="E4" t="s">
        <v>61</v>
      </c>
      <c r="F4">
        <v>6.0278320312499897E-2</v>
      </c>
      <c r="G4">
        <v>3.5460619055522398E-2</v>
      </c>
      <c r="H4">
        <v>61.187340231269403</v>
      </c>
      <c r="I4">
        <v>2.8141398345241702</v>
      </c>
    </row>
    <row r="5" spans="1:9" x14ac:dyDescent="0.25">
      <c r="A5" t="s">
        <v>17</v>
      </c>
      <c r="B5" t="s">
        <v>13</v>
      </c>
      <c r="C5">
        <v>35839.800000000003</v>
      </c>
      <c r="D5">
        <v>12.6712272491657</v>
      </c>
      <c r="E5" t="s">
        <v>62</v>
      </c>
      <c r="F5">
        <v>0.35685933430989503</v>
      </c>
      <c r="G5">
        <v>0.21158845287651201</v>
      </c>
      <c r="H5">
        <v>53.489290395783797</v>
      </c>
      <c r="I5">
        <v>2.8802410463891999</v>
      </c>
    </row>
    <row r="6" spans="1:9" x14ac:dyDescent="0.25">
      <c r="A6" t="s">
        <v>19</v>
      </c>
      <c r="B6" t="s">
        <v>10</v>
      </c>
      <c r="C6">
        <v>33767.4</v>
      </c>
      <c r="D6">
        <v>16.0324670590648</v>
      </c>
      <c r="E6" t="s">
        <v>63</v>
      </c>
      <c r="F6">
        <v>5.49179077148437E-2</v>
      </c>
      <c r="G6">
        <v>3.0029421375760899E-2</v>
      </c>
      <c r="H6">
        <v>61.483279287416501</v>
      </c>
      <c r="I6">
        <v>2.64540246162092</v>
      </c>
    </row>
    <row r="7" spans="1:9" x14ac:dyDescent="0.25">
      <c r="A7" t="s">
        <v>21</v>
      </c>
      <c r="B7" t="s">
        <v>13</v>
      </c>
      <c r="C7">
        <v>28778.799999999999</v>
      </c>
      <c r="D7">
        <v>18.454267799075598</v>
      </c>
      <c r="E7" t="s">
        <v>64</v>
      </c>
      <c r="F7">
        <v>0.40906855265299402</v>
      </c>
      <c r="G7">
        <v>0.24724615881079101</v>
      </c>
      <c r="H7">
        <v>52.878672118332801</v>
      </c>
      <c r="I7">
        <v>2.7811050614870299</v>
      </c>
    </row>
    <row r="8" spans="1:9" x14ac:dyDescent="0.25">
      <c r="A8" t="s">
        <v>23</v>
      </c>
      <c r="B8" t="s">
        <v>10</v>
      </c>
      <c r="C8">
        <v>49156.800000000003</v>
      </c>
      <c r="D8">
        <v>19.425756098540901</v>
      </c>
      <c r="E8" t="s">
        <v>65</v>
      </c>
      <c r="F8">
        <v>5.5354309082031199E-2</v>
      </c>
      <c r="G8">
        <v>3.1320747594292299E-2</v>
      </c>
      <c r="H8">
        <v>61.4842401330109</v>
      </c>
      <c r="I8">
        <v>2.6868640423518602</v>
      </c>
    </row>
    <row r="9" spans="1:9" x14ac:dyDescent="0.25">
      <c r="A9" t="s">
        <v>25</v>
      </c>
      <c r="B9" t="s">
        <v>13</v>
      </c>
      <c r="C9">
        <v>39748.199999999997</v>
      </c>
      <c r="D9">
        <v>11.989995829857399</v>
      </c>
      <c r="E9" t="s">
        <v>66</v>
      </c>
      <c r="F9">
        <v>0.32581329345703097</v>
      </c>
      <c r="G9">
        <v>0.19372681770949299</v>
      </c>
      <c r="H9">
        <v>53.870579923448602</v>
      </c>
      <c r="I9">
        <v>2.8218518434984499</v>
      </c>
    </row>
    <row r="10" spans="1:9" x14ac:dyDescent="0.25">
      <c r="A10" t="s">
        <v>27</v>
      </c>
      <c r="B10" t="s">
        <v>10</v>
      </c>
      <c r="C10">
        <v>33491.4</v>
      </c>
      <c r="D10">
        <v>11.4297856497836</v>
      </c>
      <c r="E10" t="s">
        <v>67</v>
      </c>
      <c r="F10">
        <v>5.2683258056640599E-2</v>
      </c>
      <c r="G10">
        <v>2.9768182420625702E-2</v>
      </c>
      <c r="H10">
        <v>61.702279993129899</v>
      </c>
      <c r="I10">
        <v>2.6961611622033499</v>
      </c>
    </row>
    <row r="11" spans="1:9" x14ac:dyDescent="0.25">
      <c r="A11" t="s">
        <v>29</v>
      </c>
      <c r="B11" t="s">
        <v>13</v>
      </c>
      <c r="C11">
        <v>27679</v>
      </c>
      <c r="D11">
        <v>5.96657355607051</v>
      </c>
      <c r="E11" t="s">
        <v>68</v>
      </c>
      <c r="F11">
        <v>0.29886881510416602</v>
      </c>
      <c r="G11">
        <v>0.18235174543818</v>
      </c>
      <c r="H11">
        <v>54.277348086672198</v>
      </c>
      <c r="I11">
        <v>2.86052216596722</v>
      </c>
    </row>
    <row r="12" spans="1:9" x14ac:dyDescent="0.25">
      <c r="A12" t="s">
        <v>31</v>
      </c>
      <c r="B12" t="s">
        <v>10</v>
      </c>
      <c r="C12">
        <v>44429.8</v>
      </c>
      <c r="D12">
        <v>13.377593206552501</v>
      </c>
      <c r="E12" t="s">
        <v>69</v>
      </c>
      <c r="F12">
        <v>5.34095764160155E-2</v>
      </c>
      <c r="G12">
        <v>3.01571629046644E-2</v>
      </c>
      <c r="H12">
        <v>61.642824545198401</v>
      </c>
      <c r="I12">
        <v>2.6991271295339998</v>
      </c>
    </row>
    <row r="13" spans="1:9" x14ac:dyDescent="0.25">
      <c r="A13" t="s">
        <v>33</v>
      </c>
      <c r="B13" t="s">
        <v>13</v>
      </c>
      <c r="C13">
        <v>35043.599999999999</v>
      </c>
      <c r="D13">
        <v>5.4626001134990601</v>
      </c>
      <c r="E13" t="s">
        <v>70</v>
      </c>
      <c r="F13">
        <v>0.27463531494140597</v>
      </c>
      <c r="G13">
        <v>0.169815609498291</v>
      </c>
      <c r="H13">
        <v>54.701162402593098</v>
      </c>
      <c r="I13">
        <v>2.9861511170482098</v>
      </c>
    </row>
    <row r="14" spans="1:9" x14ac:dyDescent="0.25">
      <c r="A14" t="s">
        <v>35</v>
      </c>
      <c r="B14" t="s">
        <v>10</v>
      </c>
      <c r="C14">
        <v>35695.599999999999</v>
      </c>
      <c r="D14">
        <v>18.736061485808499</v>
      </c>
      <c r="E14" t="s">
        <v>71</v>
      </c>
      <c r="F14">
        <v>5.3083801269531203E-2</v>
      </c>
      <c r="G14">
        <v>3.0042501837575699E-2</v>
      </c>
      <c r="H14">
        <v>61.662967523317697</v>
      </c>
      <c r="I14">
        <v>2.6742295261893698</v>
      </c>
    </row>
    <row r="15" spans="1:9" x14ac:dyDescent="0.25">
      <c r="A15" t="s">
        <v>37</v>
      </c>
      <c r="B15" t="s">
        <v>13</v>
      </c>
      <c r="C15">
        <v>28090</v>
      </c>
      <c r="D15">
        <v>11.13552872566</v>
      </c>
      <c r="E15" t="s">
        <v>72</v>
      </c>
      <c r="F15">
        <v>0.280430094401041</v>
      </c>
      <c r="G15">
        <v>0.15925053824473301</v>
      </c>
      <c r="H15">
        <v>54.454847373425999</v>
      </c>
      <c r="I15">
        <v>2.7306233430176401</v>
      </c>
    </row>
    <row r="16" spans="1:9" x14ac:dyDescent="0.25">
      <c r="A16" t="s">
        <v>39</v>
      </c>
      <c r="B16" t="s">
        <v>10</v>
      </c>
      <c r="C16">
        <v>58438</v>
      </c>
      <c r="D16">
        <v>17.742604092973501</v>
      </c>
      <c r="E16" t="s">
        <v>73</v>
      </c>
      <c r="F16">
        <v>6.2953186035156206E-2</v>
      </c>
      <c r="G16">
        <v>3.63932366216893E-2</v>
      </c>
      <c r="H16">
        <v>60.965766741772399</v>
      </c>
      <c r="I16">
        <v>2.7561276668212402</v>
      </c>
    </row>
    <row r="17" spans="1:9" x14ac:dyDescent="0.25">
      <c r="A17" t="s">
        <v>41</v>
      </c>
      <c r="B17" t="s">
        <v>13</v>
      </c>
      <c r="C17">
        <v>45328.4</v>
      </c>
      <c r="D17">
        <v>15.1208465371486</v>
      </c>
      <c r="E17" t="s">
        <v>74</v>
      </c>
      <c r="F17">
        <v>0.32031224568684902</v>
      </c>
      <c r="G17">
        <v>0.189447790806586</v>
      </c>
      <c r="H17">
        <v>54.015948960482497</v>
      </c>
      <c r="I17">
        <v>3.0257527555283001</v>
      </c>
    </row>
    <row r="20" spans="1:9" x14ac:dyDescent="0.25">
      <c r="A20" t="s">
        <v>75</v>
      </c>
      <c r="C20">
        <f>AVERAGE(Table35[Mean Stego Images Size])</f>
        <v>36702.450000000004</v>
      </c>
      <c r="D20">
        <f>AVERAGE(Table35[Standard Deviation of Stego Images Sizes])</f>
        <v>16.093866672949062</v>
      </c>
      <c r="F20">
        <f>AVERAGE(Table35[Mean Stego Images MSE])</f>
        <v>0.18814439773559544</v>
      </c>
      <c r="G20">
        <f>AVERAGE(Table35[Standard Deviation of Stego Images MSE])</f>
        <v>0.11096561784698272</v>
      </c>
      <c r="H20">
        <f>AVERAGE(Table35[Mean PSNR])</f>
        <v>57.726136531729665</v>
      </c>
      <c r="I20">
        <f>AVERAGE(Table35[Standard Deviation PSNR])</f>
        <v>2.7807608723171904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F5</vt:lpstr>
      <vt:lpstr>Outguess</vt:lpstr>
      <vt:lpstr>Steghide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Krisi</dc:creator>
  <cp:lastModifiedBy>Krisi</cp:lastModifiedBy>
  <dcterms:created xsi:type="dcterms:W3CDTF">2015-06-05T18:17:20Z</dcterms:created>
  <dcterms:modified xsi:type="dcterms:W3CDTF">2023-06-09T10:48:34Z</dcterms:modified>
</cp:coreProperties>
</file>